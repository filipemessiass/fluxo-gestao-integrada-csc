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ntrole-atividades\base\"/>
    </mc:Choice>
  </mc:AlternateContent>
  <xr:revisionPtr revIDLastSave="0" documentId="13_ncr:1_{381AAD62-7E71-43F7-8F5A-684F82243B4C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Leia-me" sheetId="1" r:id="rId1"/>
    <sheet name="Lançamentos" sheetId="2" r:id="rId2"/>
    <sheet name="Acompanhamento Semanal" sheetId="3" r:id="rId3"/>
    <sheet name="Resumo" sheetId="4" r:id="rId4"/>
    <sheet name="Cadastros" sheetId="5" r:id="rId5"/>
  </sheets>
  <definedNames>
    <definedName name="_xlnm._FilterDatabase" localSheetId="1" hidden="1">Lançamentos!$A$1:$Z$1000</definedName>
    <definedName name="AvalDesemp">Cadastros!$Q$5:$Q$8</definedName>
    <definedName name="AvalPrazo">Cadastros!$R$5:$R$7</definedName>
    <definedName name="Beneficios">Cadastros!$H$5:$H$11</definedName>
    <definedName name="CategoriasImped">Cadastros!$P$5:$P$11</definedName>
    <definedName name="Complexidades">Cadastros!$F$5:$F$7</definedName>
    <definedName name="Departamentos">Cadastros!$B$5:$B$7</definedName>
    <definedName name="DeptosCSC">Cadastros!$K$5:$K$16</definedName>
    <definedName name="Empresas">Cadastros!$D$5:$D$11</definedName>
    <definedName name="EntBI">Cadastros!$AQ$5:$AQ$8</definedName>
    <definedName name="EntGov">Cadastros!$AN$5:$AN$10</definedName>
    <definedName name="EntMC">Cadastros!$AO$5:$AO$9</definedName>
    <definedName name="EntOper">Cadastros!$AS$5:$AS$11</definedName>
    <definedName name="EntPMO">Cadastros!$AR$5:$AR$8</definedName>
    <definedName name="EntTD">Cadastros!$AP$5:$AP$10</definedName>
    <definedName name="EquipePI">Cadastros!$M$5:$M$9</definedName>
    <definedName name="Impactos">Cadastros!$G$5:$G$7</definedName>
    <definedName name="MapaEnt">Cadastros!$X$5:$Y$10</definedName>
    <definedName name="MapaPessoas">Cadastros!$AA$5:$AB$16</definedName>
    <definedName name="MapaTemas">Cadastros!$U$5:$V$13</definedName>
    <definedName name="MotivoStatus">Cadastros!$O$5:$O$14</definedName>
    <definedName name="Papeis">Cadastros!$L$5:$L$6</definedName>
    <definedName name="Pes01">Cadastros!$AU$5:$AU$15</definedName>
    <definedName name="Pes02">Cadastros!$AV$5:$AV$18</definedName>
    <definedName name="Pes03">Cadastros!$AW$5:$AW$11</definedName>
    <definedName name="Pes04">Cadastros!$AX$5:$AX$25</definedName>
    <definedName name="Pes05">Cadastros!$AY$5:$AY$9</definedName>
    <definedName name="Pes06">Cadastros!$AZ$5:$AZ$12</definedName>
    <definedName name="Pes07">Cadastros!$BA$5:$BA$18</definedName>
    <definedName name="Pes08">Cadastros!$BB$5:$BB$15</definedName>
    <definedName name="Pes09">Cadastros!$BC$5:$BC$16</definedName>
    <definedName name="Pes10">Cadastros!$BD$5:$BD$12</definedName>
    <definedName name="Pes11">Cadastros!$BE$5:$BE$8</definedName>
    <definedName name="Pes12">Cadastros!$BF$5:$BF$8</definedName>
    <definedName name="Pilares">Cadastros!$J$5:$J$10</definedName>
    <definedName name="Prefixo">'Leia-me'!$B$22</definedName>
    <definedName name="Prioridades">Cadastros!$E$5:$E$7</definedName>
    <definedName name="Projetos">Cadastros!$A$5:$A$13</definedName>
    <definedName name="RadarCor">Cadastros!$S$5:$S$7</definedName>
    <definedName name="SimNao">Cadastros!$I$5:$I$6</definedName>
    <definedName name="StatusList">Cadastros!$C$5:$C$10</definedName>
    <definedName name="StatusSemana">Cadastros!$N$5:$N$9</definedName>
    <definedName name="TemaActio">Cadastros!$AK$5:$AK$10</definedName>
    <definedName name="TemaIndMetas">Cadastros!$AL$5:$AL$10</definedName>
    <definedName name="TemaInvestidas">Cadastros!$AJ$5:$AJ$10</definedName>
    <definedName name="TemaLumen">Cadastros!$AD$5:$AD$18</definedName>
    <definedName name="TemaNewsletter">Cadastros!$AG$5:$AG$22</definedName>
    <definedName name="TemaRotinaFC">Cadastros!$AH$5:$AH$15</definedName>
    <definedName name="TemaRotinaFin">Cadastros!$AI$5:$AI$11</definedName>
    <definedName name="TemaSaneamento">Cadastros!$AF$5:$AF$7</definedName>
    <definedName name="TemaV360">Cadastros!$AE$5:$AE$7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7" i="4" l="1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B10" i="4"/>
  <c r="B9" i="4"/>
  <c r="B8" i="4"/>
  <c r="B7" i="4"/>
  <c r="B6" i="4"/>
  <c r="B5" i="4"/>
  <c r="D142" i="3"/>
  <c r="D141" i="3"/>
  <c r="D140" i="3"/>
  <c r="D139" i="3"/>
  <c r="D138" i="3"/>
  <c r="D137" i="3"/>
  <c r="D136" i="3"/>
  <c r="D135" i="3"/>
  <c r="D133" i="3"/>
  <c r="D132" i="3"/>
  <c r="O97" i="3"/>
  <c r="O96" i="3"/>
  <c r="O95" i="3"/>
  <c r="O94" i="3"/>
  <c r="O93" i="3"/>
  <c r="O92" i="3"/>
  <c r="O91" i="3"/>
  <c r="O90" i="3"/>
  <c r="O89" i="3"/>
  <c r="O88" i="3"/>
  <c r="M84" i="3"/>
  <c r="E84" i="3"/>
  <c r="D84" i="3"/>
  <c r="C84" i="3"/>
  <c r="M83" i="3"/>
  <c r="E83" i="3"/>
  <c r="D83" i="3"/>
  <c r="C83" i="3"/>
  <c r="M82" i="3"/>
  <c r="E82" i="3"/>
  <c r="D82" i="3"/>
  <c r="C82" i="3"/>
  <c r="M81" i="3"/>
  <c r="E81" i="3"/>
  <c r="D81" i="3"/>
  <c r="C81" i="3"/>
  <c r="M80" i="3"/>
  <c r="E80" i="3"/>
  <c r="D80" i="3"/>
  <c r="C80" i="3"/>
  <c r="M79" i="3"/>
  <c r="E79" i="3"/>
  <c r="D79" i="3"/>
  <c r="C79" i="3"/>
  <c r="M78" i="3"/>
  <c r="E78" i="3"/>
  <c r="D78" i="3"/>
  <c r="C78" i="3"/>
  <c r="M77" i="3"/>
  <c r="E77" i="3"/>
  <c r="D77" i="3"/>
  <c r="C77" i="3"/>
  <c r="M76" i="3"/>
  <c r="E76" i="3"/>
  <c r="D76" i="3"/>
  <c r="C76" i="3"/>
  <c r="M75" i="3"/>
  <c r="E75" i="3"/>
  <c r="D75" i="3"/>
  <c r="C75" i="3"/>
  <c r="M74" i="3"/>
  <c r="E74" i="3"/>
  <c r="D74" i="3"/>
  <c r="C74" i="3"/>
  <c r="M73" i="3"/>
  <c r="E73" i="3"/>
  <c r="D73" i="3"/>
  <c r="C73" i="3"/>
  <c r="M72" i="3"/>
  <c r="E72" i="3"/>
  <c r="D72" i="3"/>
  <c r="C72" i="3"/>
  <c r="M71" i="3"/>
  <c r="E71" i="3"/>
  <c r="D71" i="3"/>
  <c r="C71" i="3"/>
  <c r="M70" i="3"/>
  <c r="E70" i="3"/>
  <c r="D70" i="3"/>
  <c r="C70" i="3"/>
  <c r="M69" i="3"/>
  <c r="E69" i="3"/>
  <c r="D69" i="3"/>
  <c r="C69" i="3"/>
  <c r="M68" i="3"/>
  <c r="E68" i="3"/>
  <c r="D68" i="3"/>
  <c r="C68" i="3"/>
  <c r="M67" i="3"/>
  <c r="E67" i="3"/>
  <c r="D67" i="3"/>
  <c r="C67" i="3"/>
  <c r="M66" i="3"/>
  <c r="E66" i="3"/>
  <c r="D66" i="3"/>
  <c r="C66" i="3"/>
  <c r="M65" i="3"/>
  <c r="E65" i="3"/>
  <c r="D65" i="3"/>
  <c r="C65" i="3"/>
  <c r="M64" i="3"/>
  <c r="E64" i="3"/>
  <c r="D64" i="3"/>
  <c r="C64" i="3"/>
  <c r="M63" i="3"/>
  <c r="E63" i="3"/>
  <c r="D63" i="3"/>
  <c r="C63" i="3"/>
  <c r="M62" i="3"/>
  <c r="E62" i="3"/>
  <c r="D62" i="3"/>
  <c r="C62" i="3"/>
  <c r="M61" i="3"/>
  <c r="E61" i="3"/>
  <c r="D61" i="3"/>
  <c r="C61" i="3"/>
  <c r="M60" i="3"/>
  <c r="E60" i="3"/>
  <c r="D60" i="3"/>
  <c r="C60" i="3"/>
  <c r="M59" i="3"/>
  <c r="E59" i="3"/>
  <c r="D59" i="3"/>
  <c r="C59" i="3"/>
  <c r="M58" i="3"/>
  <c r="E58" i="3"/>
  <c r="D58" i="3"/>
  <c r="C58" i="3"/>
  <c r="M57" i="3"/>
  <c r="E57" i="3"/>
  <c r="D57" i="3"/>
  <c r="C57" i="3"/>
  <c r="M56" i="3"/>
  <c r="E56" i="3"/>
  <c r="D56" i="3"/>
  <c r="C56" i="3"/>
  <c r="M55" i="3"/>
  <c r="E55" i="3"/>
  <c r="D55" i="3"/>
  <c r="C55" i="3"/>
  <c r="M54" i="3"/>
  <c r="E54" i="3"/>
  <c r="D54" i="3"/>
  <c r="C54" i="3"/>
  <c r="M53" i="3"/>
  <c r="E53" i="3"/>
  <c r="D53" i="3"/>
  <c r="C53" i="3"/>
  <c r="M52" i="3"/>
  <c r="E52" i="3"/>
  <c r="D52" i="3"/>
  <c r="C52" i="3"/>
  <c r="M51" i="3"/>
  <c r="E51" i="3"/>
  <c r="D51" i="3"/>
  <c r="C51" i="3"/>
  <c r="M50" i="3"/>
  <c r="E50" i="3"/>
  <c r="D50" i="3"/>
  <c r="C50" i="3"/>
  <c r="M49" i="3"/>
  <c r="E49" i="3"/>
  <c r="D49" i="3"/>
  <c r="C49" i="3"/>
  <c r="M48" i="3"/>
  <c r="E48" i="3"/>
  <c r="D48" i="3"/>
  <c r="C48" i="3"/>
  <c r="M47" i="3"/>
  <c r="E47" i="3"/>
  <c r="D47" i="3"/>
  <c r="C47" i="3"/>
  <c r="M46" i="3"/>
  <c r="E46" i="3"/>
  <c r="D46" i="3"/>
  <c r="C46" i="3"/>
  <c r="M45" i="3"/>
  <c r="E45" i="3"/>
  <c r="D45" i="3"/>
  <c r="C45" i="3"/>
  <c r="O41" i="3"/>
  <c r="H41" i="3"/>
  <c r="G41" i="3"/>
  <c r="F41" i="3"/>
  <c r="E41" i="3"/>
  <c r="D41" i="3"/>
  <c r="C41" i="3"/>
  <c r="B41" i="3"/>
  <c r="A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W1000" i="2"/>
  <c r="V1000" i="2"/>
  <c r="A1000" i="2"/>
  <c r="W999" i="2"/>
  <c r="V999" i="2"/>
  <c r="A999" i="2"/>
  <c r="W998" i="2"/>
  <c r="V998" i="2"/>
  <c r="A998" i="2"/>
  <c r="W997" i="2"/>
  <c r="V997" i="2"/>
  <c r="A997" i="2"/>
  <c r="W996" i="2"/>
  <c r="V996" i="2"/>
  <c r="A996" i="2"/>
  <c r="W995" i="2"/>
  <c r="V995" i="2"/>
  <c r="A995" i="2"/>
  <c r="W994" i="2"/>
  <c r="V994" i="2"/>
  <c r="A994" i="2"/>
  <c r="W993" i="2"/>
  <c r="V993" i="2"/>
  <c r="A993" i="2"/>
  <c r="W992" i="2"/>
  <c r="V992" i="2"/>
  <c r="A992" i="2"/>
  <c r="W991" i="2"/>
  <c r="V991" i="2"/>
  <c r="A991" i="2"/>
  <c r="W990" i="2"/>
  <c r="V990" i="2"/>
  <c r="A990" i="2"/>
  <c r="W989" i="2"/>
  <c r="V989" i="2"/>
  <c r="A989" i="2"/>
  <c r="W988" i="2"/>
  <c r="V988" i="2"/>
  <c r="A988" i="2"/>
  <c r="W987" i="2"/>
  <c r="V987" i="2"/>
  <c r="A987" i="2"/>
  <c r="W986" i="2"/>
  <c r="V986" i="2"/>
  <c r="A986" i="2"/>
  <c r="W985" i="2"/>
  <c r="V985" i="2"/>
  <c r="A985" i="2"/>
  <c r="W984" i="2"/>
  <c r="V984" i="2"/>
  <c r="A984" i="2"/>
  <c r="W983" i="2"/>
  <c r="V983" i="2"/>
  <c r="A983" i="2"/>
  <c r="W982" i="2"/>
  <c r="V982" i="2"/>
  <c r="A982" i="2"/>
  <c r="W981" i="2"/>
  <c r="V981" i="2"/>
  <c r="B11" i="4" s="1"/>
  <c r="A981" i="2"/>
  <c r="W980" i="2"/>
  <c r="V980" i="2"/>
  <c r="A980" i="2"/>
  <c r="W979" i="2"/>
  <c r="V979" i="2"/>
  <c r="A979" i="2"/>
  <c r="W978" i="2"/>
  <c r="V978" i="2"/>
  <c r="A978" i="2"/>
  <c r="W977" i="2"/>
  <c r="V977" i="2"/>
  <c r="A977" i="2"/>
  <c r="W976" i="2"/>
  <c r="V976" i="2"/>
  <c r="A976" i="2"/>
  <c r="W975" i="2"/>
  <c r="V975" i="2"/>
  <c r="A975" i="2"/>
  <c r="W974" i="2"/>
  <c r="V974" i="2"/>
  <c r="A974" i="2"/>
  <c r="W973" i="2"/>
  <c r="V973" i="2"/>
  <c r="A973" i="2"/>
  <c r="W972" i="2"/>
  <c r="V972" i="2"/>
  <c r="A972" i="2"/>
  <c r="W971" i="2"/>
  <c r="V971" i="2"/>
  <c r="A971" i="2"/>
  <c r="W970" i="2"/>
  <c r="V970" i="2"/>
  <c r="A970" i="2"/>
  <c r="W969" i="2"/>
  <c r="V969" i="2"/>
  <c r="A969" i="2"/>
  <c r="W968" i="2"/>
  <c r="V968" i="2"/>
  <c r="A968" i="2"/>
  <c r="W967" i="2"/>
  <c r="V967" i="2"/>
  <c r="A967" i="2"/>
  <c r="W966" i="2"/>
  <c r="V966" i="2"/>
  <c r="A966" i="2"/>
  <c r="W965" i="2"/>
  <c r="V965" i="2"/>
  <c r="A965" i="2"/>
  <c r="W964" i="2"/>
  <c r="V964" i="2"/>
  <c r="A964" i="2"/>
  <c r="W963" i="2"/>
  <c r="V963" i="2"/>
  <c r="A963" i="2"/>
  <c r="W962" i="2"/>
  <c r="V962" i="2"/>
  <c r="A962" i="2"/>
  <c r="W961" i="2"/>
  <c r="V961" i="2"/>
  <c r="A961" i="2"/>
  <c r="W960" i="2"/>
  <c r="V960" i="2"/>
  <c r="A960" i="2"/>
  <c r="W959" i="2"/>
  <c r="V959" i="2"/>
  <c r="A959" i="2"/>
  <c r="W958" i="2"/>
  <c r="V958" i="2"/>
  <c r="A958" i="2"/>
  <c r="W957" i="2"/>
  <c r="V957" i="2"/>
  <c r="A957" i="2"/>
  <c r="W956" i="2"/>
  <c r="V956" i="2"/>
  <c r="A956" i="2"/>
  <c r="W955" i="2"/>
  <c r="V955" i="2"/>
  <c r="A955" i="2"/>
  <c r="W954" i="2"/>
  <c r="V954" i="2"/>
  <c r="A954" i="2"/>
  <c r="W953" i="2"/>
  <c r="V953" i="2"/>
  <c r="A953" i="2"/>
  <c r="W952" i="2"/>
  <c r="V952" i="2"/>
  <c r="A952" i="2"/>
  <c r="W951" i="2"/>
  <c r="V951" i="2"/>
  <c r="A951" i="2"/>
  <c r="W950" i="2"/>
  <c r="V950" i="2"/>
  <c r="A950" i="2"/>
  <c r="W949" i="2"/>
  <c r="V949" i="2"/>
  <c r="A949" i="2"/>
  <c r="W948" i="2"/>
  <c r="V948" i="2"/>
  <c r="A948" i="2"/>
  <c r="W947" i="2"/>
  <c r="V947" i="2"/>
  <c r="A947" i="2"/>
  <c r="W946" i="2"/>
  <c r="V946" i="2"/>
  <c r="A946" i="2"/>
  <c r="W945" i="2"/>
  <c r="V945" i="2"/>
  <c r="A945" i="2"/>
  <c r="W944" i="2"/>
  <c r="V944" i="2"/>
  <c r="A944" i="2"/>
  <c r="W943" i="2"/>
  <c r="V943" i="2"/>
  <c r="A943" i="2"/>
  <c r="W942" i="2"/>
  <c r="V942" i="2"/>
  <c r="A942" i="2"/>
  <c r="W941" i="2"/>
  <c r="V941" i="2"/>
  <c r="A941" i="2"/>
  <c r="W940" i="2"/>
  <c r="V940" i="2"/>
  <c r="A940" i="2"/>
  <c r="W939" i="2"/>
  <c r="V939" i="2"/>
  <c r="A939" i="2"/>
  <c r="W938" i="2"/>
  <c r="V938" i="2"/>
  <c r="A938" i="2"/>
  <c r="W937" i="2"/>
  <c r="V937" i="2"/>
  <c r="A937" i="2"/>
  <c r="W936" i="2"/>
  <c r="V936" i="2"/>
  <c r="A936" i="2"/>
  <c r="W935" i="2"/>
  <c r="V935" i="2"/>
  <c r="A935" i="2"/>
  <c r="W934" i="2"/>
  <c r="V934" i="2"/>
  <c r="A934" i="2"/>
  <c r="W933" i="2"/>
  <c r="V933" i="2"/>
  <c r="A933" i="2"/>
  <c r="W932" i="2"/>
  <c r="V932" i="2"/>
  <c r="A932" i="2"/>
  <c r="W931" i="2"/>
  <c r="V931" i="2"/>
  <c r="A931" i="2"/>
  <c r="W930" i="2"/>
  <c r="V930" i="2"/>
  <c r="A930" i="2"/>
  <c r="W929" i="2"/>
  <c r="V929" i="2"/>
  <c r="A929" i="2"/>
  <c r="W928" i="2"/>
  <c r="V928" i="2"/>
  <c r="A928" i="2"/>
  <c r="W927" i="2"/>
  <c r="V927" i="2"/>
  <c r="A927" i="2"/>
  <c r="W926" i="2"/>
  <c r="V926" i="2"/>
  <c r="A926" i="2"/>
  <c r="W925" i="2"/>
  <c r="V925" i="2"/>
  <c r="A925" i="2"/>
  <c r="W924" i="2"/>
  <c r="V924" i="2"/>
  <c r="A924" i="2"/>
  <c r="W923" i="2"/>
  <c r="V923" i="2"/>
  <c r="A923" i="2"/>
  <c r="W922" i="2"/>
  <c r="V922" i="2"/>
  <c r="A922" i="2"/>
  <c r="W921" i="2"/>
  <c r="V921" i="2"/>
  <c r="A921" i="2"/>
  <c r="W920" i="2"/>
  <c r="V920" i="2"/>
  <c r="A920" i="2"/>
  <c r="W919" i="2"/>
  <c r="V919" i="2"/>
  <c r="A919" i="2"/>
  <c r="W918" i="2"/>
  <c r="V918" i="2"/>
  <c r="A918" i="2"/>
  <c r="W917" i="2"/>
  <c r="V917" i="2"/>
  <c r="A917" i="2"/>
  <c r="W916" i="2"/>
  <c r="V916" i="2"/>
  <c r="A916" i="2"/>
  <c r="W915" i="2"/>
  <c r="V915" i="2"/>
  <c r="A915" i="2"/>
  <c r="W914" i="2"/>
  <c r="V914" i="2"/>
  <c r="A914" i="2"/>
  <c r="W913" i="2"/>
  <c r="V913" i="2"/>
  <c r="A913" i="2"/>
  <c r="W912" i="2"/>
  <c r="V912" i="2"/>
  <c r="A912" i="2"/>
  <c r="W911" i="2"/>
  <c r="V911" i="2"/>
  <c r="A911" i="2"/>
  <c r="W910" i="2"/>
  <c r="V910" i="2"/>
  <c r="A910" i="2"/>
  <c r="W909" i="2"/>
  <c r="V909" i="2"/>
  <c r="A909" i="2"/>
  <c r="W908" i="2"/>
  <c r="V908" i="2"/>
  <c r="A908" i="2"/>
  <c r="W907" i="2"/>
  <c r="V907" i="2"/>
  <c r="A907" i="2"/>
  <c r="W906" i="2"/>
  <c r="V906" i="2"/>
  <c r="A906" i="2"/>
  <c r="W905" i="2"/>
  <c r="V905" i="2"/>
  <c r="A905" i="2"/>
  <c r="W904" i="2"/>
  <c r="V904" i="2"/>
  <c r="A904" i="2"/>
  <c r="W903" i="2"/>
  <c r="V903" i="2"/>
  <c r="A903" i="2"/>
  <c r="W902" i="2"/>
  <c r="V902" i="2"/>
  <c r="A902" i="2"/>
  <c r="W901" i="2"/>
  <c r="V901" i="2"/>
  <c r="A901" i="2"/>
  <c r="W900" i="2"/>
  <c r="V900" i="2"/>
  <c r="A900" i="2"/>
  <c r="W899" i="2"/>
  <c r="V899" i="2"/>
  <c r="A899" i="2"/>
  <c r="W898" i="2"/>
  <c r="V898" i="2"/>
  <c r="A898" i="2"/>
  <c r="W897" i="2"/>
  <c r="V897" i="2"/>
  <c r="A897" i="2"/>
  <c r="W896" i="2"/>
  <c r="V896" i="2"/>
  <c r="A896" i="2"/>
  <c r="W895" i="2"/>
  <c r="V895" i="2"/>
  <c r="A895" i="2"/>
  <c r="W894" i="2"/>
  <c r="V894" i="2"/>
  <c r="A894" i="2"/>
  <c r="W893" i="2"/>
  <c r="V893" i="2"/>
  <c r="A893" i="2"/>
  <c r="W892" i="2"/>
  <c r="V892" i="2"/>
  <c r="A892" i="2"/>
  <c r="W891" i="2"/>
  <c r="V891" i="2"/>
  <c r="A891" i="2"/>
  <c r="W890" i="2"/>
  <c r="V890" i="2"/>
  <c r="A890" i="2"/>
  <c r="W889" i="2"/>
  <c r="V889" i="2"/>
  <c r="A889" i="2"/>
  <c r="W888" i="2"/>
  <c r="V888" i="2"/>
  <c r="A888" i="2"/>
  <c r="W887" i="2"/>
  <c r="V887" i="2"/>
  <c r="A887" i="2"/>
  <c r="W886" i="2"/>
  <c r="V886" i="2"/>
  <c r="A886" i="2"/>
  <c r="W885" i="2"/>
  <c r="V885" i="2"/>
  <c r="A885" i="2"/>
  <c r="W884" i="2"/>
  <c r="V884" i="2"/>
  <c r="A884" i="2"/>
  <c r="W883" i="2"/>
  <c r="V883" i="2"/>
  <c r="A883" i="2"/>
  <c r="W882" i="2"/>
  <c r="V882" i="2"/>
  <c r="A882" i="2"/>
  <c r="W881" i="2"/>
  <c r="V881" i="2"/>
  <c r="A881" i="2"/>
  <c r="W880" i="2"/>
  <c r="V880" i="2"/>
  <c r="A880" i="2"/>
  <c r="W879" i="2"/>
  <c r="V879" i="2"/>
  <c r="A879" i="2"/>
  <c r="W878" i="2"/>
  <c r="V878" i="2"/>
  <c r="A878" i="2"/>
  <c r="W877" i="2"/>
  <c r="V877" i="2"/>
  <c r="A877" i="2"/>
  <c r="W876" i="2"/>
  <c r="V876" i="2"/>
  <c r="A876" i="2"/>
  <c r="W875" i="2"/>
  <c r="V875" i="2"/>
  <c r="A875" i="2"/>
  <c r="W874" i="2"/>
  <c r="V874" i="2"/>
  <c r="A874" i="2"/>
  <c r="W873" i="2"/>
  <c r="V873" i="2"/>
  <c r="A873" i="2"/>
  <c r="W872" i="2"/>
  <c r="V872" i="2"/>
  <c r="A872" i="2"/>
  <c r="W871" i="2"/>
  <c r="V871" i="2"/>
  <c r="A871" i="2"/>
  <c r="W870" i="2"/>
  <c r="V870" i="2"/>
  <c r="A870" i="2"/>
  <c r="W869" i="2"/>
  <c r="V869" i="2"/>
  <c r="A869" i="2"/>
  <c r="W868" i="2"/>
  <c r="V868" i="2"/>
  <c r="A868" i="2"/>
  <c r="W867" i="2"/>
  <c r="V867" i="2"/>
  <c r="A867" i="2"/>
  <c r="W866" i="2"/>
  <c r="V866" i="2"/>
  <c r="A866" i="2"/>
  <c r="W865" i="2"/>
  <c r="V865" i="2"/>
  <c r="A865" i="2"/>
  <c r="W864" i="2"/>
  <c r="V864" i="2"/>
  <c r="A864" i="2"/>
  <c r="W863" i="2"/>
  <c r="V863" i="2"/>
  <c r="A863" i="2"/>
  <c r="W862" i="2"/>
  <c r="V862" i="2"/>
  <c r="A862" i="2"/>
  <c r="W861" i="2"/>
  <c r="V861" i="2"/>
  <c r="A861" i="2"/>
  <c r="W860" i="2"/>
  <c r="V860" i="2"/>
  <c r="A860" i="2"/>
  <c r="W859" i="2"/>
  <c r="V859" i="2"/>
  <c r="A859" i="2"/>
  <c r="W858" i="2"/>
  <c r="V858" i="2"/>
  <c r="A858" i="2"/>
  <c r="W857" i="2"/>
  <c r="V857" i="2"/>
  <c r="A857" i="2"/>
  <c r="W856" i="2"/>
  <c r="V856" i="2"/>
  <c r="A856" i="2"/>
  <c r="W855" i="2"/>
  <c r="V855" i="2"/>
  <c r="A855" i="2"/>
  <c r="W854" i="2"/>
  <c r="V854" i="2"/>
  <c r="A854" i="2"/>
  <c r="W853" i="2"/>
  <c r="V853" i="2"/>
  <c r="A853" i="2"/>
  <c r="W852" i="2"/>
  <c r="V852" i="2"/>
  <c r="A852" i="2"/>
  <c r="W851" i="2"/>
  <c r="V851" i="2"/>
  <c r="A851" i="2"/>
  <c r="W850" i="2"/>
  <c r="V850" i="2"/>
  <c r="A850" i="2"/>
  <c r="W849" i="2"/>
  <c r="V849" i="2"/>
  <c r="A849" i="2"/>
  <c r="W848" i="2"/>
  <c r="V848" i="2"/>
  <c r="A848" i="2"/>
  <c r="W847" i="2"/>
  <c r="V847" i="2"/>
  <c r="A847" i="2"/>
  <c r="W846" i="2"/>
  <c r="V846" i="2"/>
  <c r="A846" i="2"/>
  <c r="W845" i="2"/>
  <c r="V845" i="2"/>
  <c r="A845" i="2"/>
  <c r="W844" i="2"/>
  <c r="V844" i="2"/>
  <c r="A844" i="2"/>
  <c r="W843" i="2"/>
  <c r="V843" i="2"/>
  <c r="A843" i="2"/>
  <c r="W842" i="2"/>
  <c r="V842" i="2"/>
  <c r="A842" i="2"/>
  <c r="W841" i="2"/>
  <c r="V841" i="2"/>
  <c r="A841" i="2"/>
  <c r="W840" i="2"/>
  <c r="V840" i="2"/>
  <c r="A840" i="2"/>
  <c r="W839" i="2"/>
  <c r="V839" i="2"/>
  <c r="A839" i="2"/>
  <c r="W838" i="2"/>
  <c r="V838" i="2"/>
  <c r="A838" i="2"/>
  <c r="W837" i="2"/>
  <c r="V837" i="2"/>
  <c r="A837" i="2"/>
  <c r="W836" i="2"/>
  <c r="V836" i="2"/>
  <c r="A836" i="2"/>
  <c r="W835" i="2"/>
  <c r="V835" i="2"/>
  <c r="A835" i="2"/>
  <c r="W834" i="2"/>
  <c r="V834" i="2"/>
  <c r="A834" i="2"/>
  <c r="W833" i="2"/>
  <c r="V833" i="2"/>
  <c r="A833" i="2"/>
  <c r="W832" i="2"/>
  <c r="V832" i="2"/>
  <c r="A832" i="2"/>
  <c r="W831" i="2"/>
  <c r="V831" i="2"/>
  <c r="A831" i="2"/>
  <c r="W830" i="2"/>
  <c r="V830" i="2"/>
  <c r="A830" i="2"/>
  <c r="W829" i="2"/>
  <c r="V829" i="2"/>
  <c r="A829" i="2"/>
  <c r="W828" i="2"/>
  <c r="V828" i="2"/>
  <c r="A828" i="2"/>
  <c r="W827" i="2"/>
  <c r="V827" i="2"/>
  <c r="A827" i="2"/>
  <c r="W826" i="2"/>
  <c r="V826" i="2"/>
  <c r="A826" i="2"/>
  <c r="W825" i="2"/>
  <c r="V825" i="2"/>
  <c r="A825" i="2"/>
  <c r="W824" i="2"/>
  <c r="V824" i="2"/>
  <c r="A824" i="2"/>
  <c r="W823" i="2"/>
  <c r="V823" i="2"/>
  <c r="A823" i="2"/>
  <c r="W822" i="2"/>
  <c r="V822" i="2"/>
  <c r="A822" i="2"/>
  <c r="W821" i="2"/>
  <c r="V821" i="2"/>
  <c r="A821" i="2"/>
  <c r="W820" i="2"/>
  <c r="V820" i="2"/>
  <c r="A820" i="2"/>
  <c r="W819" i="2"/>
  <c r="V819" i="2"/>
  <c r="A819" i="2"/>
  <c r="W818" i="2"/>
  <c r="V818" i="2"/>
  <c r="A818" i="2"/>
  <c r="W817" i="2"/>
  <c r="V817" i="2"/>
  <c r="A817" i="2"/>
  <c r="W816" i="2"/>
  <c r="V816" i="2"/>
  <c r="A816" i="2"/>
  <c r="W815" i="2"/>
  <c r="V815" i="2"/>
  <c r="A815" i="2"/>
  <c r="W814" i="2"/>
  <c r="V814" i="2"/>
  <c r="A814" i="2"/>
  <c r="W813" i="2"/>
  <c r="V813" i="2"/>
  <c r="A813" i="2"/>
  <c r="W812" i="2"/>
  <c r="V812" i="2"/>
  <c r="A812" i="2"/>
  <c r="W811" i="2"/>
  <c r="V811" i="2"/>
  <c r="A811" i="2"/>
  <c r="W810" i="2"/>
  <c r="V810" i="2"/>
  <c r="A810" i="2"/>
  <c r="W809" i="2"/>
  <c r="V809" i="2"/>
  <c r="A809" i="2"/>
  <c r="W808" i="2"/>
  <c r="V808" i="2"/>
  <c r="A808" i="2"/>
  <c r="W807" i="2"/>
  <c r="V807" i="2"/>
  <c r="A807" i="2"/>
  <c r="W806" i="2"/>
  <c r="V806" i="2"/>
  <c r="A806" i="2"/>
  <c r="W805" i="2"/>
  <c r="V805" i="2"/>
  <c r="A805" i="2"/>
  <c r="W804" i="2"/>
  <c r="V804" i="2"/>
  <c r="A804" i="2"/>
  <c r="W803" i="2"/>
  <c r="V803" i="2"/>
  <c r="A803" i="2"/>
  <c r="W802" i="2"/>
  <c r="V802" i="2"/>
  <c r="A802" i="2"/>
  <c r="W801" i="2"/>
  <c r="V801" i="2"/>
  <c r="A801" i="2"/>
  <c r="W800" i="2"/>
  <c r="V800" i="2"/>
  <c r="A800" i="2"/>
  <c r="W799" i="2"/>
  <c r="V799" i="2"/>
  <c r="A799" i="2"/>
  <c r="W798" i="2"/>
  <c r="V798" i="2"/>
  <c r="A798" i="2"/>
  <c r="W797" i="2"/>
  <c r="V797" i="2"/>
  <c r="A797" i="2"/>
  <c r="W796" i="2"/>
  <c r="V796" i="2"/>
  <c r="A796" i="2"/>
  <c r="W795" i="2"/>
  <c r="V795" i="2"/>
  <c r="A795" i="2"/>
  <c r="W794" i="2"/>
  <c r="V794" i="2"/>
  <c r="A794" i="2"/>
  <c r="W793" i="2"/>
  <c r="V793" i="2"/>
  <c r="A793" i="2"/>
  <c r="W792" i="2"/>
  <c r="V792" i="2"/>
  <c r="A792" i="2"/>
  <c r="W791" i="2"/>
  <c r="V791" i="2"/>
  <c r="A791" i="2"/>
  <c r="W790" i="2"/>
  <c r="V790" i="2"/>
  <c r="A790" i="2"/>
  <c r="W789" i="2"/>
  <c r="V789" i="2"/>
  <c r="A789" i="2"/>
  <c r="W788" i="2"/>
  <c r="V788" i="2"/>
  <c r="A788" i="2"/>
  <c r="W787" i="2"/>
  <c r="V787" i="2"/>
  <c r="A787" i="2"/>
  <c r="W786" i="2"/>
  <c r="V786" i="2"/>
  <c r="A786" i="2"/>
  <c r="W785" i="2"/>
  <c r="V785" i="2"/>
  <c r="A785" i="2"/>
  <c r="W784" i="2"/>
  <c r="V784" i="2"/>
  <c r="A784" i="2"/>
  <c r="W783" i="2"/>
  <c r="V783" i="2"/>
  <c r="A783" i="2"/>
  <c r="W782" i="2"/>
  <c r="V782" i="2"/>
  <c r="A782" i="2"/>
  <c r="W781" i="2"/>
  <c r="V781" i="2"/>
  <c r="A781" i="2"/>
  <c r="W780" i="2"/>
  <c r="V780" i="2"/>
  <c r="A780" i="2"/>
  <c r="W779" i="2"/>
  <c r="V779" i="2"/>
  <c r="A779" i="2"/>
  <c r="W778" i="2"/>
  <c r="V778" i="2"/>
  <c r="A778" i="2"/>
  <c r="W777" i="2"/>
  <c r="V777" i="2"/>
  <c r="A777" i="2"/>
  <c r="W776" i="2"/>
  <c r="V776" i="2"/>
  <c r="A776" i="2"/>
  <c r="W775" i="2"/>
  <c r="V775" i="2"/>
  <c r="A775" i="2"/>
  <c r="W774" i="2"/>
  <c r="V774" i="2"/>
  <c r="A774" i="2"/>
  <c r="W773" i="2"/>
  <c r="V773" i="2"/>
  <c r="A773" i="2"/>
  <c r="W772" i="2"/>
  <c r="V772" i="2"/>
  <c r="A772" i="2"/>
  <c r="W771" i="2"/>
  <c r="V771" i="2"/>
  <c r="A771" i="2"/>
  <c r="W770" i="2"/>
  <c r="V770" i="2"/>
  <c r="A770" i="2"/>
  <c r="W769" i="2"/>
  <c r="V769" i="2"/>
  <c r="A769" i="2"/>
  <c r="W768" i="2"/>
  <c r="V768" i="2"/>
  <c r="A768" i="2"/>
  <c r="W767" i="2"/>
  <c r="V767" i="2"/>
  <c r="A767" i="2"/>
  <c r="W766" i="2"/>
  <c r="V766" i="2"/>
  <c r="A766" i="2"/>
  <c r="W765" i="2"/>
  <c r="V765" i="2"/>
  <c r="A765" i="2"/>
  <c r="W764" i="2"/>
  <c r="V764" i="2"/>
  <c r="A764" i="2"/>
  <c r="W763" i="2"/>
  <c r="V763" i="2"/>
  <c r="A763" i="2"/>
  <c r="W762" i="2"/>
  <c r="V762" i="2"/>
  <c r="A762" i="2"/>
  <c r="W761" i="2"/>
  <c r="V761" i="2"/>
  <c r="A761" i="2"/>
  <c r="W760" i="2"/>
  <c r="V760" i="2"/>
  <c r="A760" i="2"/>
  <c r="W759" i="2"/>
  <c r="V759" i="2"/>
  <c r="A759" i="2"/>
  <c r="W758" i="2"/>
  <c r="V758" i="2"/>
  <c r="A758" i="2"/>
  <c r="W757" i="2"/>
  <c r="V757" i="2"/>
  <c r="A757" i="2"/>
  <c r="W756" i="2"/>
  <c r="V756" i="2"/>
  <c r="A756" i="2"/>
  <c r="W755" i="2"/>
  <c r="V755" i="2"/>
  <c r="A755" i="2"/>
  <c r="W754" i="2"/>
  <c r="V754" i="2"/>
  <c r="A754" i="2"/>
  <c r="W753" i="2"/>
  <c r="V753" i="2"/>
  <c r="A753" i="2"/>
  <c r="W752" i="2"/>
  <c r="V752" i="2"/>
  <c r="A752" i="2"/>
  <c r="W751" i="2"/>
  <c r="V751" i="2"/>
  <c r="A751" i="2"/>
  <c r="W750" i="2"/>
  <c r="V750" i="2"/>
  <c r="A750" i="2"/>
  <c r="W749" i="2"/>
  <c r="V749" i="2"/>
  <c r="A749" i="2"/>
  <c r="W748" i="2"/>
  <c r="V748" i="2"/>
  <c r="A748" i="2"/>
  <c r="W747" i="2"/>
  <c r="V747" i="2"/>
  <c r="A747" i="2"/>
  <c r="W746" i="2"/>
  <c r="V746" i="2"/>
  <c r="A746" i="2"/>
  <c r="W745" i="2"/>
  <c r="V745" i="2"/>
  <c r="A745" i="2"/>
  <c r="W744" i="2"/>
  <c r="V744" i="2"/>
  <c r="A744" i="2"/>
  <c r="W743" i="2"/>
  <c r="V743" i="2"/>
  <c r="A743" i="2"/>
  <c r="W742" i="2"/>
  <c r="V742" i="2"/>
  <c r="A742" i="2"/>
  <c r="W741" i="2"/>
  <c r="V741" i="2"/>
  <c r="A741" i="2"/>
  <c r="W740" i="2"/>
  <c r="V740" i="2"/>
  <c r="A740" i="2"/>
  <c r="W739" i="2"/>
  <c r="V739" i="2"/>
  <c r="A739" i="2"/>
  <c r="W738" i="2"/>
  <c r="V738" i="2"/>
  <c r="A738" i="2"/>
  <c r="W737" i="2"/>
  <c r="V737" i="2"/>
  <c r="A737" i="2"/>
  <c r="W736" i="2"/>
  <c r="V736" i="2"/>
  <c r="A736" i="2"/>
  <c r="W735" i="2"/>
  <c r="V735" i="2"/>
  <c r="A735" i="2"/>
  <c r="W734" i="2"/>
  <c r="V734" i="2"/>
  <c r="A734" i="2"/>
  <c r="W733" i="2"/>
  <c r="V733" i="2"/>
  <c r="A733" i="2"/>
  <c r="W732" i="2"/>
  <c r="V732" i="2"/>
  <c r="A732" i="2"/>
  <c r="W731" i="2"/>
  <c r="V731" i="2"/>
  <c r="A731" i="2"/>
  <c r="W730" i="2"/>
  <c r="V730" i="2"/>
  <c r="A730" i="2"/>
  <c r="W729" i="2"/>
  <c r="V729" i="2"/>
  <c r="A729" i="2"/>
  <c r="W728" i="2"/>
  <c r="V728" i="2"/>
  <c r="A728" i="2"/>
  <c r="W727" i="2"/>
  <c r="V727" i="2"/>
  <c r="A727" i="2"/>
  <c r="W726" i="2"/>
  <c r="V726" i="2"/>
  <c r="A726" i="2"/>
  <c r="W725" i="2"/>
  <c r="V725" i="2"/>
  <c r="A725" i="2"/>
  <c r="W724" i="2"/>
  <c r="V724" i="2"/>
  <c r="A724" i="2"/>
  <c r="W723" i="2"/>
  <c r="V723" i="2"/>
  <c r="A723" i="2"/>
  <c r="W722" i="2"/>
  <c r="V722" i="2"/>
  <c r="A722" i="2"/>
  <c r="W721" i="2"/>
  <c r="V721" i="2"/>
  <c r="A721" i="2"/>
  <c r="W720" i="2"/>
  <c r="V720" i="2"/>
  <c r="A720" i="2"/>
  <c r="W719" i="2"/>
  <c r="V719" i="2"/>
  <c r="A719" i="2"/>
  <c r="W718" i="2"/>
  <c r="V718" i="2"/>
  <c r="A718" i="2"/>
  <c r="W717" i="2"/>
  <c r="V717" i="2"/>
  <c r="A717" i="2"/>
  <c r="W716" i="2"/>
  <c r="V716" i="2"/>
  <c r="A716" i="2"/>
  <c r="W715" i="2"/>
  <c r="V715" i="2"/>
  <c r="A715" i="2"/>
  <c r="W714" i="2"/>
  <c r="V714" i="2"/>
  <c r="A714" i="2"/>
  <c r="W713" i="2"/>
  <c r="V713" i="2"/>
  <c r="A713" i="2"/>
  <c r="W712" i="2"/>
  <c r="V712" i="2"/>
  <c r="A712" i="2"/>
  <c r="W711" i="2"/>
  <c r="V711" i="2"/>
  <c r="A711" i="2"/>
  <c r="W710" i="2"/>
  <c r="V710" i="2"/>
  <c r="A710" i="2"/>
  <c r="W709" i="2"/>
  <c r="V709" i="2"/>
  <c r="A709" i="2"/>
  <c r="W708" i="2"/>
  <c r="V708" i="2"/>
  <c r="A708" i="2"/>
  <c r="W707" i="2"/>
  <c r="V707" i="2"/>
  <c r="A707" i="2"/>
  <c r="W706" i="2"/>
  <c r="V706" i="2"/>
  <c r="A706" i="2"/>
  <c r="W705" i="2"/>
  <c r="V705" i="2"/>
  <c r="A705" i="2"/>
  <c r="W704" i="2"/>
  <c r="V704" i="2"/>
  <c r="A704" i="2"/>
  <c r="W703" i="2"/>
  <c r="V703" i="2"/>
  <c r="A703" i="2"/>
  <c r="W702" i="2"/>
  <c r="V702" i="2"/>
  <c r="A702" i="2"/>
  <c r="W701" i="2"/>
  <c r="V701" i="2"/>
  <c r="A701" i="2"/>
  <c r="W700" i="2"/>
  <c r="V700" i="2"/>
  <c r="A700" i="2"/>
  <c r="W699" i="2"/>
  <c r="V699" i="2"/>
  <c r="A699" i="2"/>
  <c r="W698" i="2"/>
  <c r="V698" i="2"/>
  <c r="A698" i="2"/>
  <c r="W697" i="2"/>
  <c r="V697" i="2"/>
  <c r="A697" i="2"/>
  <c r="W696" i="2"/>
  <c r="V696" i="2"/>
  <c r="A696" i="2"/>
  <c r="W695" i="2"/>
  <c r="V695" i="2"/>
  <c r="A695" i="2"/>
  <c r="W694" i="2"/>
  <c r="V694" i="2"/>
  <c r="A694" i="2"/>
  <c r="W693" i="2"/>
  <c r="V693" i="2"/>
  <c r="A693" i="2"/>
  <c r="W692" i="2"/>
  <c r="V692" i="2"/>
  <c r="A692" i="2"/>
  <c r="W691" i="2"/>
  <c r="V691" i="2"/>
  <c r="A691" i="2"/>
  <c r="W690" i="2"/>
  <c r="V690" i="2"/>
  <c r="A690" i="2"/>
  <c r="W689" i="2"/>
  <c r="V689" i="2"/>
  <c r="A689" i="2"/>
  <c r="W688" i="2"/>
  <c r="V688" i="2"/>
  <c r="A688" i="2"/>
  <c r="W687" i="2"/>
  <c r="V687" i="2"/>
  <c r="A687" i="2"/>
  <c r="W686" i="2"/>
  <c r="V686" i="2"/>
  <c r="A686" i="2"/>
  <c r="W685" i="2"/>
  <c r="V685" i="2"/>
  <c r="A685" i="2"/>
  <c r="W684" i="2"/>
  <c r="V684" i="2"/>
  <c r="A684" i="2"/>
  <c r="W683" i="2"/>
  <c r="V683" i="2"/>
  <c r="A683" i="2"/>
  <c r="W682" i="2"/>
  <c r="V682" i="2"/>
  <c r="A682" i="2"/>
  <c r="W681" i="2"/>
  <c r="V681" i="2"/>
  <c r="A681" i="2"/>
  <c r="W680" i="2"/>
  <c r="V680" i="2"/>
  <c r="A680" i="2"/>
  <c r="W679" i="2"/>
  <c r="V679" i="2"/>
  <c r="A679" i="2"/>
  <c r="W678" i="2"/>
  <c r="V678" i="2"/>
  <c r="A678" i="2"/>
  <c r="W677" i="2"/>
  <c r="V677" i="2"/>
  <c r="A677" i="2"/>
  <c r="W676" i="2"/>
  <c r="V676" i="2"/>
  <c r="A676" i="2"/>
  <c r="W675" i="2"/>
  <c r="V675" i="2"/>
  <c r="A675" i="2"/>
  <c r="W674" i="2"/>
  <c r="V674" i="2"/>
  <c r="A674" i="2"/>
  <c r="W673" i="2"/>
  <c r="V673" i="2"/>
  <c r="A673" i="2"/>
  <c r="W672" i="2"/>
  <c r="V672" i="2"/>
  <c r="A672" i="2"/>
  <c r="W671" i="2"/>
  <c r="V671" i="2"/>
  <c r="A671" i="2"/>
  <c r="W670" i="2"/>
  <c r="V670" i="2"/>
  <c r="A670" i="2"/>
  <c r="W669" i="2"/>
  <c r="V669" i="2"/>
  <c r="A669" i="2"/>
  <c r="W668" i="2"/>
  <c r="V668" i="2"/>
  <c r="A668" i="2"/>
  <c r="W667" i="2"/>
  <c r="V667" i="2"/>
  <c r="A667" i="2"/>
  <c r="W666" i="2"/>
  <c r="V666" i="2"/>
  <c r="A666" i="2"/>
  <c r="W665" i="2"/>
  <c r="V665" i="2"/>
  <c r="A665" i="2"/>
  <c r="W664" i="2"/>
  <c r="V664" i="2"/>
  <c r="A664" i="2"/>
  <c r="W663" i="2"/>
  <c r="V663" i="2"/>
  <c r="A663" i="2"/>
  <c r="W662" i="2"/>
  <c r="V662" i="2"/>
  <c r="A662" i="2"/>
  <c r="W661" i="2"/>
  <c r="V661" i="2"/>
  <c r="A661" i="2"/>
  <c r="W660" i="2"/>
  <c r="V660" i="2"/>
  <c r="A660" i="2"/>
  <c r="W659" i="2"/>
  <c r="V659" i="2"/>
  <c r="A659" i="2"/>
  <c r="W658" i="2"/>
  <c r="V658" i="2"/>
  <c r="A658" i="2"/>
  <c r="W657" i="2"/>
  <c r="V657" i="2"/>
  <c r="A657" i="2"/>
  <c r="W656" i="2"/>
  <c r="V656" i="2"/>
  <c r="A656" i="2"/>
  <c r="W655" i="2"/>
  <c r="V655" i="2"/>
  <c r="A655" i="2"/>
  <c r="W654" i="2"/>
  <c r="V654" i="2"/>
  <c r="A654" i="2"/>
  <c r="W653" i="2"/>
  <c r="V653" i="2"/>
  <c r="A653" i="2"/>
  <c r="W652" i="2"/>
  <c r="V652" i="2"/>
  <c r="A652" i="2"/>
  <c r="W651" i="2"/>
  <c r="V651" i="2"/>
  <c r="A651" i="2"/>
  <c r="W650" i="2"/>
  <c r="V650" i="2"/>
  <c r="A650" i="2"/>
  <c r="W649" i="2"/>
  <c r="V649" i="2"/>
  <c r="A649" i="2"/>
  <c r="W648" i="2"/>
  <c r="V648" i="2"/>
  <c r="A648" i="2"/>
  <c r="W647" i="2"/>
  <c r="V647" i="2"/>
  <c r="A647" i="2"/>
  <c r="W646" i="2"/>
  <c r="V646" i="2"/>
  <c r="A646" i="2"/>
  <c r="W645" i="2"/>
  <c r="V645" i="2"/>
  <c r="A645" i="2"/>
  <c r="W644" i="2"/>
  <c r="V644" i="2"/>
  <c r="A644" i="2"/>
  <c r="W643" i="2"/>
  <c r="V643" i="2"/>
  <c r="A643" i="2"/>
  <c r="W642" i="2"/>
  <c r="V642" i="2"/>
  <c r="A642" i="2"/>
  <c r="W641" i="2"/>
  <c r="V641" i="2"/>
  <c r="A641" i="2"/>
  <c r="W640" i="2"/>
  <c r="V640" i="2"/>
  <c r="A640" i="2"/>
  <c r="W639" i="2"/>
  <c r="V639" i="2"/>
  <c r="A639" i="2"/>
  <c r="W638" i="2"/>
  <c r="V638" i="2"/>
  <c r="A638" i="2"/>
  <c r="W637" i="2"/>
  <c r="V637" i="2"/>
  <c r="A637" i="2"/>
  <c r="W636" i="2"/>
  <c r="V636" i="2"/>
  <c r="A636" i="2"/>
  <c r="W635" i="2"/>
  <c r="V635" i="2"/>
  <c r="A635" i="2"/>
  <c r="W634" i="2"/>
  <c r="V634" i="2"/>
  <c r="A634" i="2"/>
  <c r="W633" i="2"/>
  <c r="V633" i="2"/>
  <c r="A633" i="2"/>
  <c r="W632" i="2"/>
  <c r="V632" i="2"/>
  <c r="A632" i="2"/>
  <c r="W631" i="2"/>
  <c r="V631" i="2"/>
  <c r="A631" i="2"/>
  <c r="W630" i="2"/>
  <c r="V630" i="2"/>
  <c r="A630" i="2"/>
  <c r="W629" i="2"/>
  <c r="V629" i="2"/>
  <c r="A629" i="2"/>
  <c r="W628" i="2"/>
  <c r="V628" i="2"/>
  <c r="A628" i="2"/>
  <c r="W627" i="2"/>
  <c r="V627" i="2"/>
  <c r="A627" i="2"/>
  <c r="W626" i="2"/>
  <c r="V626" i="2"/>
  <c r="A626" i="2"/>
  <c r="W625" i="2"/>
  <c r="V625" i="2"/>
  <c r="A625" i="2"/>
  <c r="W624" i="2"/>
  <c r="V624" i="2"/>
  <c r="A624" i="2"/>
  <c r="W623" i="2"/>
  <c r="V623" i="2"/>
  <c r="A623" i="2"/>
  <c r="W622" i="2"/>
  <c r="V622" i="2"/>
  <c r="A622" i="2"/>
  <c r="W621" i="2"/>
  <c r="V621" i="2"/>
  <c r="A621" i="2"/>
  <c r="W620" i="2"/>
  <c r="V620" i="2"/>
  <c r="A620" i="2"/>
  <c r="W619" i="2"/>
  <c r="V619" i="2"/>
  <c r="A619" i="2"/>
  <c r="W618" i="2"/>
  <c r="V618" i="2"/>
  <c r="A618" i="2"/>
  <c r="W617" i="2"/>
  <c r="V617" i="2"/>
  <c r="A617" i="2"/>
  <c r="W616" i="2"/>
  <c r="V616" i="2"/>
  <c r="A616" i="2"/>
  <c r="W615" i="2"/>
  <c r="V615" i="2"/>
  <c r="A615" i="2"/>
  <c r="W614" i="2"/>
  <c r="V614" i="2"/>
  <c r="A614" i="2"/>
  <c r="W613" i="2"/>
  <c r="V613" i="2"/>
  <c r="A613" i="2"/>
  <c r="W612" i="2"/>
  <c r="V612" i="2"/>
  <c r="A612" i="2"/>
  <c r="W611" i="2"/>
  <c r="V611" i="2"/>
  <c r="A611" i="2"/>
  <c r="W610" i="2"/>
  <c r="V610" i="2"/>
  <c r="A610" i="2"/>
  <c r="W609" i="2"/>
  <c r="V609" i="2"/>
  <c r="A609" i="2"/>
  <c r="W608" i="2"/>
  <c r="V608" i="2"/>
  <c r="A608" i="2"/>
  <c r="W607" i="2"/>
  <c r="V607" i="2"/>
  <c r="A607" i="2"/>
  <c r="W606" i="2"/>
  <c r="V606" i="2"/>
  <c r="A606" i="2"/>
  <c r="W605" i="2"/>
  <c r="V605" i="2"/>
  <c r="A605" i="2"/>
  <c r="W604" i="2"/>
  <c r="V604" i="2"/>
  <c r="A604" i="2"/>
  <c r="W603" i="2"/>
  <c r="V603" i="2"/>
  <c r="A603" i="2"/>
  <c r="W602" i="2"/>
  <c r="V602" i="2"/>
  <c r="A602" i="2"/>
  <c r="W601" i="2"/>
  <c r="V601" i="2"/>
  <c r="A601" i="2"/>
  <c r="W600" i="2"/>
  <c r="V600" i="2"/>
  <c r="A600" i="2"/>
  <c r="W599" i="2"/>
  <c r="V599" i="2"/>
  <c r="A599" i="2"/>
  <c r="W598" i="2"/>
  <c r="V598" i="2"/>
  <c r="A598" i="2"/>
  <c r="W597" i="2"/>
  <c r="V597" i="2"/>
  <c r="A597" i="2"/>
  <c r="W596" i="2"/>
  <c r="V596" i="2"/>
  <c r="A596" i="2"/>
  <c r="W595" i="2"/>
  <c r="V595" i="2"/>
  <c r="A595" i="2"/>
  <c r="W594" i="2"/>
  <c r="V594" i="2"/>
  <c r="A594" i="2"/>
  <c r="W593" i="2"/>
  <c r="V593" i="2"/>
  <c r="A593" i="2"/>
  <c r="W592" i="2"/>
  <c r="V592" i="2"/>
  <c r="A592" i="2"/>
  <c r="W591" i="2"/>
  <c r="V591" i="2"/>
  <c r="A591" i="2"/>
  <c r="W590" i="2"/>
  <c r="V590" i="2"/>
  <c r="A590" i="2"/>
  <c r="W589" i="2"/>
  <c r="V589" i="2"/>
  <c r="A589" i="2"/>
  <c r="W588" i="2"/>
  <c r="V588" i="2"/>
  <c r="A588" i="2"/>
  <c r="W587" i="2"/>
  <c r="V587" i="2"/>
  <c r="A587" i="2"/>
  <c r="W586" i="2"/>
  <c r="V586" i="2"/>
  <c r="A586" i="2"/>
  <c r="W585" i="2"/>
  <c r="V585" i="2"/>
  <c r="A585" i="2"/>
  <c r="W584" i="2"/>
  <c r="V584" i="2"/>
  <c r="A584" i="2"/>
  <c r="W583" i="2"/>
  <c r="V583" i="2"/>
  <c r="A583" i="2"/>
  <c r="W582" i="2"/>
  <c r="V582" i="2"/>
  <c r="A582" i="2"/>
  <c r="W581" i="2"/>
  <c r="V581" i="2"/>
  <c r="A581" i="2"/>
  <c r="W580" i="2"/>
  <c r="V580" i="2"/>
  <c r="A580" i="2"/>
  <c r="W579" i="2"/>
  <c r="V579" i="2"/>
  <c r="A579" i="2"/>
  <c r="W578" i="2"/>
  <c r="V578" i="2"/>
  <c r="A578" i="2"/>
  <c r="W577" i="2"/>
  <c r="V577" i="2"/>
  <c r="A577" i="2"/>
  <c r="W576" i="2"/>
  <c r="V576" i="2"/>
  <c r="A576" i="2"/>
  <c r="W575" i="2"/>
  <c r="V575" i="2"/>
  <c r="A575" i="2"/>
  <c r="W574" i="2"/>
  <c r="V574" i="2"/>
  <c r="A574" i="2"/>
  <c r="W573" i="2"/>
  <c r="V573" i="2"/>
  <c r="A573" i="2"/>
  <c r="W572" i="2"/>
  <c r="V572" i="2"/>
  <c r="A572" i="2"/>
  <c r="W571" i="2"/>
  <c r="V571" i="2"/>
  <c r="A571" i="2"/>
  <c r="W570" i="2"/>
  <c r="V570" i="2"/>
  <c r="A570" i="2"/>
  <c r="W569" i="2"/>
  <c r="V569" i="2"/>
  <c r="A569" i="2"/>
  <c r="W568" i="2"/>
  <c r="V568" i="2"/>
  <c r="A568" i="2"/>
  <c r="W567" i="2"/>
  <c r="V567" i="2"/>
  <c r="A567" i="2"/>
  <c r="W566" i="2"/>
  <c r="V566" i="2"/>
  <c r="A566" i="2"/>
  <c r="W565" i="2"/>
  <c r="V565" i="2"/>
  <c r="A565" i="2"/>
  <c r="W564" i="2"/>
  <c r="V564" i="2"/>
  <c r="A564" i="2"/>
  <c r="W563" i="2"/>
  <c r="V563" i="2"/>
  <c r="A563" i="2"/>
  <c r="W562" i="2"/>
  <c r="V562" i="2"/>
  <c r="A562" i="2"/>
  <c r="W561" i="2"/>
  <c r="V561" i="2"/>
  <c r="A561" i="2"/>
  <c r="W560" i="2"/>
  <c r="V560" i="2"/>
  <c r="A560" i="2"/>
  <c r="W559" i="2"/>
  <c r="V559" i="2"/>
  <c r="A559" i="2"/>
  <c r="W558" i="2"/>
  <c r="V558" i="2"/>
  <c r="A558" i="2"/>
  <c r="W557" i="2"/>
  <c r="V557" i="2"/>
  <c r="A557" i="2"/>
  <c r="W556" i="2"/>
  <c r="V556" i="2"/>
  <c r="A556" i="2"/>
  <c r="W555" i="2"/>
  <c r="V555" i="2"/>
  <c r="A555" i="2"/>
  <c r="W554" i="2"/>
  <c r="V554" i="2"/>
  <c r="A554" i="2"/>
  <c r="W553" i="2"/>
  <c r="V553" i="2"/>
  <c r="A553" i="2"/>
  <c r="W552" i="2"/>
  <c r="V552" i="2"/>
  <c r="A552" i="2"/>
  <c r="W551" i="2"/>
  <c r="V551" i="2"/>
  <c r="A551" i="2"/>
  <c r="W550" i="2"/>
  <c r="V550" i="2"/>
  <c r="A550" i="2"/>
  <c r="W549" i="2"/>
  <c r="V549" i="2"/>
  <c r="A549" i="2"/>
  <c r="W548" i="2"/>
  <c r="V548" i="2"/>
  <c r="A548" i="2"/>
  <c r="W547" i="2"/>
  <c r="V547" i="2"/>
  <c r="A547" i="2"/>
  <c r="W546" i="2"/>
  <c r="V546" i="2"/>
  <c r="A546" i="2"/>
  <c r="W545" i="2"/>
  <c r="V545" i="2"/>
  <c r="A545" i="2"/>
  <c r="W544" i="2"/>
  <c r="V544" i="2"/>
  <c r="A544" i="2"/>
  <c r="W543" i="2"/>
  <c r="V543" i="2"/>
  <c r="A543" i="2"/>
  <c r="W542" i="2"/>
  <c r="V542" i="2"/>
  <c r="A542" i="2"/>
  <c r="W541" i="2"/>
  <c r="V541" i="2"/>
  <c r="A541" i="2"/>
  <c r="W540" i="2"/>
  <c r="V540" i="2"/>
  <c r="A540" i="2"/>
  <c r="W539" i="2"/>
  <c r="V539" i="2"/>
  <c r="A539" i="2"/>
  <c r="W538" i="2"/>
  <c r="V538" i="2"/>
  <c r="A538" i="2"/>
  <c r="W537" i="2"/>
  <c r="V537" i="2"/>
  <c r="A537" i="2"/>
  <c r="W536" i="2"/>
  <c r="V536" i="2"/>
  <c r="A536" i="2"/>
  <c r="W535" i="2"/>
  <c r="V535" i="2"/>
  <c r="A535" i="2"/>
  <c r="W534" i="2"/>
  <c r="V534" i="2"/>
  <c r="A534" i="2"/>
  <c r="W533" i="2"/>
  <c r="V533" i="2"/>
  <c r="A533" i="2"/>
  <c r="W532" i="2"/>
  <c r="V532" i="2"/>
  <c r="A532" i="2"/>
  <c r="W531" i="2"/>
  <c r="V531" i="2"/>
  <c r="A531" i="2"/>
  <c r="W530" i="2"/>
  <c r="V530" i="2"/>
  <c r="A530" i="2"/>
  <c r="W529" i="2"/>
  <c r="V529" i="2"/>
  <c r="A529" i="2"/>
  <c r="W528" i="2"/>
  <c r="V528" i="2"/>
  <c r="A528" i="2"/>
  <c r="W527" i="2"/>
  <c r="V527" i="2"/>
  <c r="A527" i="2"/>
  <c r="W526" i="2"/>
  <c r="V526" i="2"/>
  <c r="A526" i="2"/>
  <c r="W525" i="2"/>
  <c r="V525" i="2"/>
  <c r="A525" i="2"/>
  <c r="W524" i="2"/>
  <c r="V524" i="2"/>
  <c r="A524" i="2"/>
  <c r="W523" i="2"/>
  <c r="V523" i="2"/>
  <c r="A523" i="2"/>
  <c r="W522" i="2"/>
  <c r="V522" i="2"/>
  <c r="A522" i="2"/>
  <c r="W521" i="2"/>
  <c r="V521" i="2"/>
  <c r="A521" i="2"/>
  <c r="W520" i="2"/>
  <c r="V520" i="2"/>
  <c r="A520" i="2"/>
  <c r="W519" i="2"/>
  <c r="V519" i="2"/>
  <c r="A519" i="2"/>
  <c r="W518" i="2"/>
  <c r="V518" i="2"/>
  <c r="A518" i="2"/>
  <c r="W517" i="2"/>
  <c r="V517" i="2"/>
  <c r="A517" i="2"/>
  <c r="W516" i="2"/>
  <c r="V516" i="2"/>
  <c r="A516" i="2"/>
  <c r="W515" i="2"/>
  <c r="V515" i="2"/>
  <c r="A515" i="2"/>
  <c r="W514" i="2"/>
  <c r="V514" i="2"/>
  <c r="A514" i="2"/>
  <c r="W513" i="2"/>
  <c r="V513" i="2"/>
  <c r="A513" i="2"/>
  <c r="W512" i="2"/>
  <c r="V512" i="2"/>
  <c r="A512" i="2"/>
  <c r="W511" i="2"/>
  <c r="V511" i="2"/>
  <c r="A511" i="2"/>
  <c r="W510" i="2"/>
  <c r="V510" i="2"/>
  <c r="A510" i="2"/>
  <c r="W509" i="2"/>
  <c r="V509" i="2"/>
  <c r="A509" i="2"/>
  <c r="W508" i="2"/>
  <c r="V508" i="2"/>
  <c r="A508" i="2"/>
  <c r="W507" i="2"/>
  <c r="V507" i="2"/>
  <c r="A507" i="2"/>
  <c r="W506" i="2"/>
  <c r="V506" i="2"/>
  <c r="A506" i="2"/>
  <c r="W505" i="2"/>
  <c r="V505" i="2"/>
  <c r="A505" i="2"/>
  <c r="W504" i="2"/>
  <c r="V504" i="2"/>
  <c r="A504" i="2"/>
  <c r="W503" i="2"/>
  <c r="V503" i="2"/>
  <c r="A503" i="2"/>
  <c r="W502" i="2"/>
  <c r="V502" i="2"/>
  <c r="A502" i="2"/>
  <c r="W501" i="2"/>
  <c r="V501" i="2"/>
  <c r="A501" i="2"/>
  <c r="W500" i="2"/>
  <c r="V500" i="2"/>
  <c r="A500" i="2"/>
  <c r="W499" i="2"/>
  <c r="V499" i="2"/>
  <c r="A499" i="2"/>
  <c r="W498" i="2"/>
  <c r="V498" i="2"/>
  <c r="A498" i="2"/>
  <c r="W497" i="2"/>
  <c r="V497" i="2"/>
  <c r="A497" i="2"/>
  <c r="W496" i="2"/>
  <c r="V496" i="2"/>
  <c r="A496" i="2"/>
  <c r="W495" i="2"/>
  <c r="V495" i="2"/>
  <c r="A495" i="2"/>
  <c r="W494" i="2"/>
  <c r="V494" i="2"/>
  <c r="A494" i="2"/>
  <c r="W493" i="2"/>
  <c r="V493" i="2"/>
  <c r="A493" i="2"/>
  <c r="W492" i="2"/>
  <c r="V492" i="2"/>
  <c r="A492" i="2"/>
  <c r="W491" i="2"/>
  <c r="V491" i="2"/>
  <c r="A491" i="2"/>
  <c r="W490" i="2"/>
  <c r="V490" i="2"/>
  <c r="A490" i="2"/>
  <c r="W489" i="2"/>
  <c r="V489" i="2"/>
  <c r="A489" i="2"/>
  <c r="W488" i="2"/>
  <c r="V488" i="2"/>
  <c r="A488" i="2"/>
  <c r="W487" i="2"/>
  <c r="V487" i="2"/>
  <c r="A487" i="2"/>
  <c r="W486" i="2"/>
  <c r="V486" i="2"/>
  <c r="A486" i="2"/>
  <c r="W485" i="2"/>
  <c r="V485" i="2"/>
  <c r="A485" i="2"/>
  <c r="W484" i="2"/>
  <c r="V484" i="2"/>
  <c r="A484" i="2"/>
  <c r="W483" i="2"/>
  <c r="V483" i="2"/>
  <c r="A483" i="2"/>
  <c r="W482" i="2"/>
  <c r="V482" i="2"/>
  <c r="A482" i="2"/>
  <c r="W481" i="2"/>
  <c r="V481" i="2"/>
  <c r="A481" i="2"/>
  <c r="W480" i="2"/>
  <c r="V480" i="2"/>
  <c r="A480" i="2"/>
  <c r="W479" i="2"/>
  <c r="V479" i="2"/>
  <c r="A479" i="2"/>
  <c r="W478" i="2"/>
  <c r="V478" i="2"/>
  <c r="A478" i="2"/>
  <c r="W477" i="2"/>
  <c r="V477" i="2"/>
  <c r="A477" i="2"/>
  <c r="W476" i="2"/>
  <c r="V476" i="2"/>
  <c r="A476" i="2"/>
  <c r="W475" i="2"/>
  <c r="V475" i="2"/>
  <c r="A475" i="2"/>
  <c r="W474" i="2"/>
  <c r="V474" i="2"/>
  <c r="A474" i="2"/>
  <c r="W473" i="2"/>
  <c r="V473" i="2"/>
  <c r="A473" i="2"/>
  <c r="W472" i="2"/>
  <c r="V472" i="2"/>
  <c r="A472" i="2"/>
  <c r="W471" i="2"/>
  <c r="V471" i="2"/>
  <c r="A471" i="2"/>
  <c r="W470" i="2"/>
  <c r="V470" i="2"/>
  <c r="A470" i="2"/>
  <c r="W469" i="2"/>
  <c r="V469" i="2"/>
  <c r="A469" i="2"/>
  <c r="W468" i="2"/>
  <c r="V468" i="2"/>
  <c r="A468" i="2"/>
  <c r="W467" i="2"/>
  <c r="V467" i="2"/>
  <c r="A467" i="2"/>
  <c r="W466" i="2"/>
  <c r="V466" i="2"/>
  <c r="A466" i="2"/>
  <c r="W465" i="2"/>
  <c r="V465" i="2"/>
  <c r="A465" i="2"/>
  <c r="W464" i="2"/>
  <c r="V464" i="2"/>
  <c r="A464" i="2"/>
  <c r="W463" i="2"/>
  <c r="V463" i="2"/>
  <c r="A463" i="2"/>
  <c r="W462" i="2"/>
  <c r="V462" i="2"/>
  <c r="A462" i="2"/>
  <c r="W461" i="2"/>
  <c r="V461" i="2"/>
  <c r="A461" i="2"/>
  <c r="W460" i="2"/>
  <c r="V460" i="2"/>
  <c r="A460" i="2"/>
  <c r="W459" i="2"/>
  <c r="V459" i="2"/>
  <c r="A459" i="2"/>
  <c r="W458" i="2"/>
  <c r="V458" i="2"/>
  <c r="A458" i="2"/>
  <c r="W457" i="2"/>
  <c r="V457" i="2"/>
  <c r="A457" i="2"/>
  <c r="W456" i="2"/>
  <c r="V456" i="2"/>
  <c r="A456" i="2"/>
  <c r="W455" i="2"/>
  <c r="V455" i="2"/>
  <c r="A455" i="2"/>
  <c r="W454" i="2"/>
  <c r="V454" i="2"/>
  <c r="A454" i="2"/>
  <c r="W453" i="2"/>
  <c r="V453" i="2"/>
  <c r="A453" i="2"/>
  <c r="W452" i="2"/>
  <c r="V452" i="2"/>
  <c r="A452" i="2"/>
  <c r="W451" i="2"/>
  <c r="V451" i="2"/>
  <c r="A451" i="2"/>
  <c r="W450" i="2"/>
  <c r="V450" i="2"/>
  <c r="A450" i="2"/>
  <c r="W449" i="2"/>
  <c r="V449" i="2"/>
  <c r="A449" i="2"/>
  <c r="W448" i="2"/>
  <c r="V448" i="2"/>
  <c r="A448" i="2"/>
  <c r="W447" i="2"/>
  <c r="V447" i="2"/>
  <c r="A447" i="2"/>
  <c r="W446" i="2"/>
  <c r="V446" i="2"/>
  <c r="A446" i="2"/>
  <c r="W445" i="2"/>
  <c r="V445" i="2"/>
  <c r="A445" i="2"/>
  <c r="W444" i="2"/>
  <c r="V444" i="2"/>
  <c r="A444" i="2"/>
  <c r="W443" i="2"/>
  <c r="V443" i="2"/>
  <c r="A443" i="2"/>
  <c r="W442" i="2"/>
  <c r="V442" i="2"/>
  <c r="A442" i="2"/>
  <c r="W441" i="2"/>
  <c r="V441" i="2"/>
  <c r="A441" i="2"/>
  <c r="W440" i="2"/>
  <c r="V440" i="2"/>
  <c r="A440" i="2"/>
  <c r="W439" i="2"/>
  <c r="V439" i="2"/>
  <c r="A439" i="2"/>
  <c r="W438" i="2"/>
  <c r="V438" i="2"/>
  <c r="A438" i="2"/>
  <c r="W437" i="2"/>
  <c r="V437" i="2"/>
  <c r="A437" i="2"/>
  <c r="W436" i="2"/>
  <c r="V436" i="2"/>
  <c r="A436" i="2"/>
  <c r="W435" i="2"/>
  <c r="V435" i="2"/>
  <c r="A435" i="2"/>
  <c r="W434" i="2"/>
  <c r="V434" i="2"/>
  <c r="A434" i="2"/>
  <c r="W433" i="2"/>
  <c r="V433" i="2"/>
  <c r="A433" i="2"/>
  <c r="W432" i="2"/>
  <c r="V432" i="2"/>
  <c r="A432" i="2"/>
  <c r="W431" i="2"/>
  <c r="V431" i="2"/>
  <c r="A431" i="2"/>
  <c r="W430" i="2"/>
  <c r="V430" i="2"/>
  <c r="A430" i="2"/>
  <c r="W429" i="2"/>
  <c r="V429" i="2"/>
  <c r="A429" i="2"/>
  <c r="W428" i="2"/>
  <c r="V428" i="2"/>
  <c r="A428" i="2"/>
  <c r="W427" i="2"/>
  <c r="V427" i="2"/>
  <c r="A427" i="2"/>
  <c r="W426" i="2"/>
  <c r="V426" i="2"/>
  <c r="A426" i="2"/>
  <c r="W425" i="2"/>
  <c r="V425" i="2"/>
  <c r="A425" i="2"/>
  <c r="W424" i="2"/>
  <c r="V424" i="2"/>
  <c r="A424" i="2"/>
  <c r="W423" i="2"/>
  <c r="V423" i="2"/>
  <c r="A423" i="2"/>
  <c r="W422" i="2"/>
  <c r="V422" i="2"/>
  <c r="A422" i="2"/>
  <c r="W421" i="2"/>
  <c r="V421" i="2"/>
  <c r="A421" i="2"/>
  <c r="W420" i="2"/>
  <c r="V420" i="2"/>
  <c r="A420" i="2"/>
  <c r="W419" i="2"/>
  <c r="V419" i="2"/>
  <c r="A419" i="2"/>
  <c r="W418" i="2"/>
  <c r="V418" i="2"/>
  <c r="A418" i="2"/>
  <c r="W417" i="2"/>
  <c r="V417" i="2"/>
  <c r="A417" i="2"/>
  <c r="W416" i="2"/>
  <c r="V416" i="2"/>
  <c r="A416" i="2"/>
  <c r="W415" i="2"/>
  <c r="V415" i="2"/>
  <c r="A415" i="2"/>
  <c r="W414" i="2"/>
  <c r="V414" i="2"/>
  <c r="A414" i="2"/>
  <c r="W413" i="2"/>
  <c r="V413" i="2"/>
  <c r="A413" i="2"/>
  <c r="W412" i="2"/>
  <c r="V412" i="2"/>
  <c r="A412" i="2"/>
  <c r="W411" i="2"/>
  <c r="V411" i="2"/>
  <c r="A411" i="2"/>
  <c r="W410" i="2"/>
  <c r="V410" i="2"/>
  <c r="A410" i="2"/>
  <c r="W409" i="2"/>
  <c r="V409" i="2"/>
  <c r="A409" i="2"/>
  <c r="W408" i="2"/>
  <c r="V408" i="2"/>
  <c r="A408" i="2"/>
  <c r="W407" i="2"/>
  <c r="V407" i="2"/>
  <c r="A407" i="2"/>
  <c r="W406" i="2"/>
  <c r="V406" i="2"/>
  <c r="A406" i="2"/>
  <c r="W405" i="2"/>
  <c r="V405" i="2"/>
  <c r="A405" i="2"/>
  <c r="W404" i="2"/>
  <c r="V404" i="2"/>
  <c r="A404" i="2"/>
  <c r="W403" i="2"/>
  <c r="V403" i="2"/>
  <c r="A403" i="2"/>
  <c r="W402" i="2"/>
  <c r="V402" i="2"/>
  <c r="A402" i="2"/>
  <c r="W401" i="2"/>
  <c r="V401" i="2"/>
  <c r="A401" i="2"/>
  <c r="W400" i="2"/>
  <c r="V400" i="2"/>
  <c r="A400" i="2"/>
  <c r="W399" i="2"/>
  <c r="V399" i="2"/>
  <c r="A399" i="2"/>
  <c r="W398" i="2"/>
  <c r="V398" i="2"/>
  <c r="A398" i="2"/>
  <c r="W397" i="2"/>
  <c r="V397" i="2"/>
  <c r="A397" i="2"/>
  <c r="W396" i="2"/>
  <c r="V396" i="2"/>
  <c r="A396" i="2"/>
  <c r="W395" i="2"/>
  <c r="V395" i="2"/>
  <c r="A395" i="2"/>
  <c r="W394" i="2"/>
  <c r="V394" i="2"/>
  <c r="A394" i="2"/>
  <c r="W393" i="2"/>
  <c r="V393" i="2"/>
  <c r="A393" i="2"/>
  <c r="W392" i="2"/>
  <c r="V392" i="2"/>
  <c r="A392" i="2"/>
  <c r="W391" i="2"/>
  <c r="V391" i="2"/>
  <c r="A391" i="2"/>
  <c r="W390" i="2"/>
  <c r="V390" i="2"/>
  <c r="A390" i="2"/>
  <c r="W389" i="2"/>
  <c r="V389" i="2"/>
  <c r="A389" i="2"/>
  <c r="W388" i="2"/>
  <c r="V388" i="2"/>
  <c r="A388" i="2"/>
  <c r="W387" i="2"/>
  <c r="V387" i="2"/>
  <c r="A387" i="2"/>
  <c r="W386" i="2"/>
  <c r="V386" i="2"/>
  <c r="A386" i="2"/>
  <c r="W385" i="2"/>
  <c r="V385" i="2"/>
  <c r="A385" i="2"/>
  <c r="W384" i="2"/>
  <c r="V384" i="2"/>
  <c r="A384" i="2"/>
  <c r="W383" i="2"/>
  <c r="V383" i="2"/>
  <c r="A383" i="2"/>
  <c r="W382" i="2"/>
  <c r="V382" i="2"/>
  <c r="A382" i="2"/>
  <c r="W381" i="2"/>
  <c r="V381" i="2"/>
  <c r="A381" i="2"/>
  <c r="W380" i="2"/>
  <c r="V380" i="2"/>
  <c r="A380" i="2"/>
  <c r="W379" i="2"/>
  <c r="V379" i="2"/>
  <c r="A379" i="2"/>
  <c r="W378" i="2"/>
  <c r="V378" i="2"/>
  <c r="A378" i="2"/>
  <c r="W377" i="2"/>
  <c r="V377" i="2"/>
  <c r="A377" i="2"/>
  <c r="W376" i="2"/>
  <c r="V376" i="2"/>
  <c r="A376" i="2"/>
  <c r="W375" i="2"/>
  <c r="V375" i="2"/>
  <c r="A375" i="2"/>
  <c r="W374" i="2"/>
  <c r="V374" i="2"/>
  <c r="A374" i="2"/>
  <c r="W373" i="2"/>
  <c r="V373" i="2"/>
  <c r="A373" i="2"/>
  <c r="W372" i="2"/>
  <c r="V372" i="2"/>
  <c r="A372" i="2"/>
  <c r="W371" i="2"/>
  <c r="V371" i="2"/>
  <c r="A371" i="2"/>
  <c r="W370" i="2"/>
  <c r="V370" i="2"/>
  <c r="A370" i="2"/>
  <c r="W369" i="2"/>
  <c r="V369" i="2"/>
  <c r="A369" i="2"/>
  <c r="W368" i="2"/>
  <c r="V368" i="2"/>
  <c r="A368" i="2"/>
  <c r="W367" i="2"/>
  <c r="V367" i="2"/>
  <c r="A367" i="2"/>
  <c r="W366" i="2"/>
  <c r="V366" i="2"/>
  <c r="A366" i="2"/>
  <c r="W365" i="2"/>
  <c r="V365" i="2"/>
  <c r="A365" i="2"/>
  <c r="W364" i="2"/>
  <c r="V364" i="2"/>
  <c r="A364" i="2"/>
  <c r="W363" i="2"/>
  <c r="V363" i="2"/>
  <c r="A363" i="2"/>
  <c r="W362" i="2"/>
  <c r="V362" i="2"/>
  <c r="A362" i="2"/>
  <c r="W361" i="2"/>
  <c r="V361" i="2"/>
  <c r="A361" i="2"/>
  <c r="W360" i="2"/>
  <c r="V360" i="2"/>
  <c r="A360" i="2"/>
  <c r="W359" i="2"/>
  <c r="V359" i="2"/>
  <c r="A359" i="2"/>
  <c r="W358" i="2"/>
  <c r="V358" i="2"/>
  <c r="A358" i="2"/>
  <c r="W357" i="2"/>
  <c r="V357" i="2"/>
  <c r="A357" i="2"/>
  <c r="W356" i="2"/>
  <c r="V356" i="2"/>
  <c r="A356" i="2"/>
  <c r="W355" i="2"/>
  <c r="V355" i="2"/>
  <c r="A355" i="2"/>
  <c r="W354" i="2"/>
  <c r="V354" i="2"/>
  <c r="A354" i="2"/>
  <c r="W353" i="2"/>
  <c r="V353" i="2"/>
  <c r="A353" i="2"/>
  <c r="W352" i="2"/>
  <c r="V352" i="2"/>
  <c r="A352" i="2"/>
  <c r="W351" i="2"/>
  <c r="V351" i="2"/>
  <c r="A351" i="2"/>
  <c r="W350" i="2"/>
  <c r="V350" i="2"/>
  <c r="A350" i="2"/>
  <c r="W349" i="2"/>
  <c r="V349" i="2"/>
  <c r="A349" i="2"/>
  <c r="W348" i="2"/>
  <c r="V348" i="2"/>
  <c r="A348" i="2"/>
  <c r="W347" i="2"/>
  <c r="V347" i="2"/>
  <c r="A347" i="2"/>
  <c r="W346" i="2"/>
  <c r="V346" i="2"/>
  <c r="A346" i="2"/>
  <c r="W345" i="2"/>
  <c r="V345" i="2"/>
  <c r="A345" i="2"/>
  <c r="W344" i="2"/>
  <c r="V344" i="2"/>
  <c r="A344" i="2"/>
  <c r="W343" i="2"/>
  <c r="V343" i="2"/>
  <c r="A343" i="2"/>
  <c r="W342" i="2"/>
  <c r="V342" i="2"/>
  <c r="A342" i="2"/>
  <c r="W341" i="2"/>
  <c r="V341" i="2"/>
  <c r="A341" i="2"/>
  <c r="W340" i="2"/>
  <c r="V340" i="2"/>
  <c r="A340" i="2"/>
  <c r="W339" i="2"/>
  <c r="V339" i="2"/>
  <c r="A339" i="2"/>
  <c r="W338" i="2"/>
  <c r="V338" i="2"/>
  <c r="A338" i="2"/>
  <c r="W337" i="2"/>
  <c r="V337" i="2"/>
  <c r="A337" i="2"/>
  <c r="W336" i="2"/>
  <c r="V336" i="2"/>
  <c r="A336" i="2"/>
  <c r="W335" i="2"/>
  <c r="V335" i="2"/>
  <c r="A335" i="2"/>
  <c r="W334" i="2"/>
  <c r="V334" i="2"/>
  <c r="A334" i="2"/>
  <c r="W333" i="2"/>
  <c r="V333" i="2"/>
  <c r="A333" i="2"/>
  <c r="W332" i="2"/>
  <c r="V332" i="2"/>
  <c r="A332" i="2"/>
  <c r="W331" i="2"/>
  <c r="V331" i="2"/>
  <c r="A331" i="2"/>
  <c r="W330" i="2"/>
  <c r="V330" i="2"/>
  <c r="A330" i="2"/>
  <c r="W329" i="2"/>
  <c r="V329" i="2"/>
  <c r="A329" i="2"/>
  <c r="W328" i="2"/>
  <c r="V328" i="2"/>
  <c r="A328" i="2"/>
  <c r="W327" i="2"/>
  <c r="V327" i="2"/>
  <c r="A327" i="2"/>
  <c r="W326" i="2"/>
  <c r="V326" i="2"/>
  <c r="A326" i="2"/>
  <c r="W325" i="2"/>
  <c r="V325" i="2"/>
  <c r="A325" i="2"/>
  <c r="W324" i="2"/>
  <c r="V324" i="2"/>
  <c r="A324" i="2"/>
  <c r="W323" i="2"/>
  <c r="V323" i="2"/>
  <c r="A323" i="2"/>
  <c r="W322" i="2"/>
  <c r="V322" i="2"/>
  <c r="A322" i="2"/>
  <c r="W321" i="2"/>
  <c r="V321" i="2"/>
  <c r="A321" i="2"/>
  <c r="W320" i="2"/>
  <c r="V320" i="2"/>
  <c r="A320" i="2"/>
  <c r="W319" i="2"/>
  <c r="V319" i="2"/>
  <c r="A319" i="2"/>
  <c r="W318" i="2"/>
  <c r="V318" i="2"/>
  <c r="A318" i="2"/>
  <c r="W317" i="2"/>
  <c r="V317" i="2"/>
  <c r="A317" i="2"/>
  <c r="W316" i="2"/>
  <c r="V316" i="2"/>
  <c r="A316" i="2"/>
  <c r="W315" i="2"/>
  <c r="V315" i="2"/>
  <c r="A315" i="2"/>
  <c r="W314" i="2"/>
  <c r="V314" i="2"/>
  <c r="A314" i="2"/>
  <c r="W313" i="2"/>
  <c r="V313" i="2"/>
  <c r="A313" i="2"/>
  <c r="W312" i="2"/>
  <c r="V312" i="2"/>
  <c r="A312" i="2"/>
  <c r="W311" i="2"/>
  <c r="V311" i="2"/>
  <c r="A311" i="2"/>
  <c r="W310" i="2"/>
  <c r="V310" i="2"/>
  <c r="A310" i="2"/>
  <c r="W309" i="2"/>
  <c r="V309" i="2"/>
  <c r="A309" i="2"/>
  <c r="W308" i="2"/>
  <c r="V308" i="2"/>
  <c r="A308" i="2"/>
  <c r="W307" i="2"/>
  <c r="V307" i="2"/>
  <c r="A307" i="2"/>
  <c r="W306" i="2"/>
  <c r="V306" i="2"/>
  <c r="A306" i="2"/>
  <c r="W305" i="2"/>
  <c r="V305" i="2"/>
  <c r="A305" i="2"/>
  <c r="W304" i="2"/>
  <c r="V304" i="2"/>
  <c r="A304" i="2"/>
  <c r="W303" i="2"/>
  <c r="V303" i="2"/>
  <c r="A303" i="2"/>
  <c r="W302" i="2"/>
  <c r="V302" i="2"/>
  <c r="A302" i="2"/>
  <c r="W301" i="2"/>
  <c r="V301" i="2"/>
  <c r="A301" i="2"/>
  <c r="W300" i="2"/>
  <c r="V300" i="2"/>
  <c r="A300" i="2"/>
  <c r="W299" i="2"/>
  <c r="V299" i="2"/>
  <c r="A299" i="2"/>
  <c r="W298" i="2"/>
  <c r="V298" i="2"/>
  <c r="A298" i="2"/>
  <c r="W297" i="2"/>
  <c r="V297" i="2"/>
  <c r="A297" i="2"/>
  <c r="W296" i="2"/>
  <c r="V296" i="2"/>
  <c r="A296" i="2"/>
  <c r="W295" i="2"/>
  <c r="V295" i="2"/>
  <c r="A295" i="2"/>
  <c r="W294" i="2"/>
  <c r="V294" i="2"/>
  <c r="A294" i="2"/>
  <c r="W293" i="2"/>
  <c r="V293" i="2"/>
  <c r="A293" i="2"/>
  <c r="W292" i="2"/>
  <c r="V292" i="2"/>
  <c r="A292" i="2"/>
  <c r="W291" i="2"/>
  <c r="V291" i="2"/>
  <c r="A291" i="2"/>
  <c r="W290" i="2"/>
  <c r="V290" i="2"/>
  <c r="A290" i="2"/>
  <c r="W289" i="2"/>
  <c r="V289" i="2"/>
  <c r="A289" i="2"/>
  <c r="W288" i="2"/>
  <c r="V288" i="2"/>
  <c r="A288" i="2"/>
  <c r="W287" i="2"/>
  <c r="V287" i="2"/>
  <c r="A287" i="2"/>
  <c r="W286" i="2"/>
  <c r="V286" i="2"/>
  <c r="A286" i="2"/>
  <c r="W285" i="2"/>
  <c r="V285" i="2"/>
  <c r="A285" i="2"/>
  <c r="W284" i="2"/>
  <c r="V284" i="2"/>
  <c r="A284" i="2"/>
  <c r="W283" i="2"/>
  <c r="V283" i="2"/>
  <c r="A283" i="2"/>
  <c r="W282" i="2"/>
  <c r="V282" i="2"/>
  <c r="A282" i="2"/>
  <c r="W281" i="2"/>
  <c r="V281" i="2"/>
  <c r="A281" i="2"/>
  <c r="W280" i="2"/>
  <c r="V280" i="2"/>
  <c r="A280" i="2"/>
  <c r="W279" i="2"/>
  <c r="V279" i="2"/>
  <c r="A279" i="2"/>
  <c r="W278" i="2"/>
  <c r="V278" i="2"/>
  <c r="A278" i="2"/>
  <c r="W277" i="2"/>
  <c r="V277" i="2"/>
  <c r="A277" i="2"/>
  <c r="W276" i="2"/>
  <c r="V276" i="2"/>
  <c r="A276" i="2"/>
  <c r="W275" i="2"/>
  <c r="V275" i="2"/>
  <c r="A275" i="2"/>
  <c r="W274" i="2"/>
  <c r="V274" i="2"/>
  <c r="A274" i="2"/>
  <c r="W273" i="2"/>
  <c r="V273" i="2"/>
  <c r="A273" i="2"/>
  <c r="W272" i="2"/>
  <c r="V272" i="2"/>
  <c r="A272" i="2"/>
  <c r="W271" i="2"/>
  <c r="V271" i="2"/>
  <c r="A271" i="2"/>
  <c r="W270" i="2"/>
  <c r="V270" i="2"/>
  <c r="A270" i="2"/>
  <c r="W269" i="2"/>
  <c r="V269" i="2"/>
  <c r="A269" i="2"/>
  <c r="W268" i="2"/>
  <c r="V268" i="2"/>
  <c r="A268" i="2"/>
  <c r="W267" i="2"/>
  <c r="V267" i="2"/>
  <c r="A267" i="2"/>
  <c r="W266" i="2"/>
  <c r="V266" i="2"/>
  <c r="A266" i="2"/>
  <c r="W265" i="2"/>
  <c r="V265" i="2"/>
  <c r="A265" i="2"/>
  <c r="W264" i="2"/>
  <c r="V264" i="2"/>
  <c r="A264" i="2"/>
  <c r="W263" i="2"/>
  <c r="V263" i="2"/>
  <c r="A263" i="2"/>
  <c r="W262" i="2"/>
  <c r="V262" i="2"/>
  <c r="A262" i="2"/>
  <c r="W261" i="2"/>
  <c r="V261" i="2"/>
  <c r="A261" i="2"/>
  <c r="W260" i="2"/>
  <c r="V260" i="2"/>
  <c r="A260" i="2"/>
  <c r="W259" i="2"/>
  <c r="V259" i="2"/>
  <c r="A259" i="2"/>
  <c r="W258" i="2"/>
  <c r="V258" i="2"/>
  <c r="A258" i="2"/>
  <c r="W257" i="2"/>
  <c r="V257" i="2"/>
  <c r="A257" i="2"/>
  <c r="W256" i="2"/>
  <c r="V256" i="2"/>
  <c r="A256" i="2"/>
  <c r="W255" i="2"/>
  <c r="V255" i="2"/>
  <c r="A255" i="2"/>
  <c r="W254" i="2"/>
  <c r="V254" i="2"/>
  <c r="A254" i="2"/>
  <c r="W253" i="2"/>
  <c r="V253" i="2"/>
  <c r="A253" i="2"/>
  <c r="W252" i="2"/>
  <c r="V252" i="2"/>
  <c r="A252" i="2"/>
  <c r="W251" i="2"/>
  <c r="V251" i="2"/>
  <c r="A251" i="2"/>
  <c r="W250" i="2"/>
  <c r="V250" i="2"/>
  <c r="A250" i="2"/>
  <c r="W249" i="2"/>
  <c r="V249" i="2"/>
  <c r="A249" i="2"/>
  <c r="W248" i="2"/>
  <c r="V248" i="2"/>
  <c r="A248" i="2"/>
  <c r="W247" i="2"/>
  <c r="V247" i="2"/>
  <c r="A247" i="2"/>
  <c r="W246" i="2"/>
  <c r="V246" i="2"/>
  <c r="A246" i="2"/>
  <c r="W245" i="2"/>
  <c r="V245" i="2"/>
  <c r="A245" i="2"/>
  <c r="W244" i="2"/>
  <c r="V244" i="2"/>
  <c r="A244" i="2"/>
  <c r="W243" i="2"/>
  <c r="V243" i="2"/>
  <c r="A243" i="2"/>
  <c r="W242" i="2"/>
  <c r="V242" i="2"/>
  <c r="A242" i="2"/>
  <c r="W241" i="2"/>
  <c r="V241" i="2"/>
  <c r="A241" i="2"/>
  <c r="W240" i="2"/>
  <c r="V240" i="2"/>
  <c r="A240" i="2"/>
  <c r="W239" i="2"/>
  <c r="V239" i="2"/>
  <c r="A239" i="2"/>
  <c r="W238" i="2"/>
  <c r="V238" i="2"/>
  <c r="A238" i="2"/>
  <c r="W237" i="2"/>
  <c r="V237" i="2"/>
  <c r="A237" i="2"/>
  <c r="W236" i="2"/>
  <c r="V236" i="2"/>
  <c r="A236" i="2"/>
  <c r="W235" i="2"/>
  <c r="V235" i="2"/>
  <c r="A235" i="2"/>
  <c r="W234" i="2"/>
  <c r="V234" i="2"/>
  <c r="A234" i="2"/>
  <c r="W233" i="2"/>
  <c r="V233" i="2"/>
  <c r="A233" i="2"/>
  <c r="W232" i="2"/>
  <c r="V232" i="2"/>
  <c r="A232" i="2"/>
  <c r="W231" i="2"/>
  <c r="V231" i="2"/>
  <c r="A231" i="2"/>
  <c r="W230" i="2"/>
  <c r="V230" i="2"/>
  <c r="A230" i="2"/>
  <c r="W229" i="2"/>
  <c r="V229" i="2"/>
  <c r="A229" i="2"/>
  <c r="W228" i="2"/>
  <c r="V228" i="2"/>
  <c r="A228" i="2"/>
  <c r="W227" i="2"/>
  <c r="V227" i="2"/>
  <c r="A227" i="2"/>
  <c r="W226" i="2"/>
  <c r="V226" i="2"/>
  <c r="A226" i="2"/>
  <c r="W225" i="2"/>
  <c r="V225" i="2"/>
  <c r="A225" i="2"/>
  <c r="W224" i="2"/>
  <c r="V224" i="2"/>
  <c r="A224" i="2"/>
  <c r="W223" i="2"/>
  <c r="V223" i="2"/>
  <c r="A223" i="2"/>
  <c r="W222" i="2"/>
  <c r="V222" i="2"/>
  <c r="A222" i="2"/>
  <c r="W221" i="2"/>
  <c r="V221" i="2"/>
  <c r="A221" i="2"/>
  <c r="W220" i="2"/>
  <c r="V220" i="2"/>
  <c r="A220" i="2"/>
  <c r="W219" i="2"/>
  <c r="V219" i="2"/>
  <c r="A219" i="2"/>
  <c r="W218" i="2"/>
  <c r="V218" i="2"/>
  <c r="A218" i="2"/>
  <c r="W217" i="2"/>
  <c r="V217" i="2"/>
  <c r="A217" i="2"/>
  <c r="W216" i="2"/>
  <c r="V216" i="2"/>
  <c r="A216" i="2"/>
  <c r="W215" i="2"/>
  <c r="V215" i="2"/>
  <c r="A215" i="2"/>
  <c r="W214" i="2"/>
  <c r="V214" i="2"/>
  <c r="A214" i="2"/>
  <c r="W213" i="2"/>
  <c r="V213" i="2"/>
  <c r="A213" i="2"/>
  <c r="W212" i="2"/>
  <c r="V212" i="2"/>
  <c r="A212" i="2"/>
  <c r="W211" i="2"/>
  <c r="V211" i="2"/>
  <c r="A211" i="2"/>
  <c r="W210" i="2"/>
  <c r="V210" i="2"/>
  <c r="A210" i="2"/>
  <c r="W209" i="2"/>
  <c r="V209" i="2"/>
  <c r="A209" i="2"/>
  <c r="W208" i="2"/>
  <c r="V208" i="2"/>
  <c r="A208" i="2"/>
  <c r="W207" i="2"/>
  <c r="V207" i="2"/>
  <c r="A207" i="2"/>
  <c r="W206" i="2"/>
  <c r="V206" i="2"/>
  <c r="A206" i="2"/>
  <c r="W205" i="2"/>
  <c r="V205" i="2"/>
  <c r="A205" i="2"/>
  <c r="W204" i="2"/>
  <c r="V204" i="2"/>
  <c r="A204" i="2"/>
  <c r="W203" i="2"/>
  <c r="V203" i="2"/>
  <c r="A203" i="2"/>
  <c r="W202" i="2"/>
  <c r="V202" i="2"/>
  <c r="A202" i="2"/>
  <c r="W201" i="2"/>
  <c r="V201" i="2"/>
  <c r="A201" i="2"/>
  <c r="W200" i="2"/>
  <c r="V200" i="2"/>
  <c r="A200" i="2"/>
  <c r="W199" i="2"/>
  <c r="V199" i="2"/>
  <c r="A199" i="2"/>
  <c r="W198" i="2"/>
  <c r="V198" i="2"/>
  <c r="A198" i="2"/>
  <c r="W197" i="2"/>
  <c r="V197" i="2"/>
  <c r="A197" i="2"/>
  <c r="W196" i="2"/>
  <c r="V196" i="2"/>
  <c r="A196" i="2"/>
  <c r="W195" i="2"/>
  <c r="V195" i="2"/>
  <c r="A195" i="2"/>
  <c r="W194" i="2"/>
  <c r="V194" i="2"/>
  <c r="A194" i="2"/>
  <c r="W193" i="2"/>
  <c r="V193" i="2"/>
  <c r="A193" i="2"/>
  <c r="W192" i="2"/>
  <c r="V192" i="2"/>
  <c r="A192" i="2"/>
  <c r="W191" i="2"/>
  <c r="V191" i="2"/>
  <c r="A191" i="2"/>
  <c r="W190" i="2"/>
  <c r="V190" i="2"/>
  <c r="A190" i="2"/>
  <c r="W189" i="2"/>
  <c r="V189" i="2"/>
  <c r="A189" i="2"/>
  <c r="W188" i="2"/>
  <c r="V188" i="2"/>
  <c r="A188" i="2"/>
  <c r="W187" i="2"/>
  <c r="V187" i="2"/>
  <c r="A187" i="2"/>
  <c r="W186" i="2"/>
  <c r="V186" i="2"/>
  <c r="A186" i="2"/>
  <c r="W185" i="2"/>
  <c r="V185" i="2"/>
  <c r="A185" i="2"/>
  <c r="W184" i="2"/>
  <c r="V184" i="2"/>
  <c r="A184" i="2"/>
  <c r="W183" i="2"/>
  <c r="V183" i="2"/>
  <c r="A183" i="2"/>
  <c r="W182" i="2"/>
  <c r="V182" i="2"/>
  <c r="A182" i="2"/>
  <c r="W181" i="2"/>
  <c r="V181" i="2"/>
  <c r="A181" i="2"/>
  <c r="W180" i="2"/>
  <c r="V180" i="2"/>
  <c r="A180" i="2"/>
  <c r="W179" i="2"/>
  <c r="V179" i="2"/>
  <c r="A179" i="2"/>
  <c r="W178" i="2"/>
  <c r="V178" i="2"/>
  <c r="A178" i="2"/>
  <c r="W177" i="2"/>
  <c r="V177" i="2"/>
  <c r="A177" i="2"/>
  <c r="W176" i="2"/>
  <c r="V176" i="2"/>
  <c r="A176" i="2"/>
  <c r="W175" i="2"/>
  <c r="V175" i="2"/>
  <c r="A175" i="2"/>
  <c r="W174" i="2"/>
  <c r="V174" i="2"/>
  <c r="A174" i="2"/>
  <c r="W173" i="2"/>
  <c r="V173" i="2"/>
  <c r="A173" i="2"/>
  <c r="W172" i="2"/>
  <c r="V172" i="2"/>
  <c r="A172" i="2"/>
  <c r="W171" i="2"/>
  <c r="V171" i="2"/>
  <c r="A171" i="2"/>
  <c r="W170" i="2"/>
  <c r="V170" i="2"/>
  <c r="A170" i="2"/>
  <c r="W169" i="2"/>
  <c r="V169" i="2"/>
  <c r="A169" i="2"/>
  <c r="W168" i="2"/>
  <c r="V168" i="2"/>
  <c r="A168" i="2"/>
  <c r="W167" i="2"/>
  <c r="V167" i="2"/>
  <c r="A167" i="2"/>
  <c r="W166" i="2"/>
  <c r="V166" i="2"/>
  <c r="A166" i="2"/>
  <c r="W165" i="2"/>
  <c r="V165" i="2"/>
  <c r="A165" i="2"/>
  <c r="W164" i="2"/>
  <c r="V164" i="2"/>
  <c r="A164" i="2"/>
  <c r="W163" i="2"/>
  <c r="V163" i="2"/>
  <c r="A163" i="2"/>
  <c r="W162" i="2"/>
  <c r="V162" i="2"/>
  <c r="A162" i="2"/>
  <c r="W161" i="2"/>
  <c r="V161" i="2"/>
  <c r="A161" i="2"/>
  <c r="W160" i="2"/>
  <c r="V160" i="2"/>
  <c r="A160" i="2"/>
  <c r="W159" i="2"/>
  <c r="V159" i="2"/>
  <c r="A159" i="2"/>
  <c r="W158" i="2"/>
  <c r="V158" i="2"/>
  <c r="A158" i="2"/>
  <c r="W157" i="2"/>
  <c r="V157" i="2"/>
  <c r="A157" i="2"/>
  <c r="W156" i="2"/>
  <c r="V156" i="2"/>
  <c r="A156" i="2"/>
  <c r="W155" i="2"/>
  <c r="V155" i="2"/>
  <c r="A155" i="2"/>
  <c r="W154" i="2"/>
  <c r="V154" i="2"/>
  <c r="A154" i="2"/>
  <c r="W153" i="2"/>
  <c r="V153" i="2"/>
  <c r="A153" i="2"/>
  <c r="W152" i="2"/>
  <c r="V152" i="2"/>
  <c r="A152" i="2"/>
  <c r="W151" i="2"/>
  <c r="V151" i="2"/>
  <c r="A151" i="2"/>
  <c r="W150" i="2"/>
  <c r="V150" i="2"/>
  <c r="A150" i="2"/>
  <c r="W149" i="2"/>
  <c r="V149" i="2"/>
  <c r="A149" i="2"/>
  <c r="W148" i="2"/>
  <c r="V148" i="2"/>
  <c r="A148" i="2"/>
  <c r="W147" i="2"/>
  <c r="V147" i="2"/>
  <c r="A147" i="2"/>
  <c r="W146" i="2"/>
  <c r="V146" i="2"/>
  <c r="A146" i="2"/>
  <c r="W145" i="2"/>
  <c r="V145" i="2"/>
  <c r="A145" i="2"/>
  <c r="W144" i="2"/>
  <c r="V144" i="2"/>
  <c r="A144" i="2"/>
  <c r="W143" i="2"/>
  <c r="V143" i="2"/>
  <c r="A143" i="2"/>
  <c r="W142" i="2"/>
  <c r="V142" i="2"/>
  <c r="A142" i="2"/>
  <c r="W141" i="2"/>
  <c r="V141" i="2"/>
  <c r="A141" i="2"/>
  <c r="W140" i="2"/>
  <c r="V140" i="2"/>
  <c r="A140" i="2"/>
  <c r="W139" i="2"/>
  <c r="V139" i="2"/>
  <c r="A139" i="2"/>
  <c r="W138" i="2"/>
  <c r="V138" i="2"/>
  <c r="A138" i="2"/>
  <c r="W137" i="2"/>
  <c r="V137" i="2"/>
  <c r="A137" i="2"/>
  <c r="W136" i="2"/>
  <c r="V136" i="2"/>
  <c r="A136" i="2"/>
  <c r="W135" i="2"/>
  <c r="V135" i="2"/>
  <c r="A135" i="2"/>
  <c r="W134" i="2"/>
  <c r="V134" i="2"/>
  <c r="A134" i="2"/>
  <c r="W133" i="2"/>
  <c r="V133" i="2"/>
  <c r="A133" i="2"/>
  <c r="W132" i="2"/>
  <c r="V132" i="2"/>
  <c r="A132" i="2"/>
  <c r="W131" i="2"/>
  <c r="V131" i="2"/>
  <c r="A131" i="2"/>
  <c r="W130" i="2"/>
  <c r="V130" i="2"/>
  <c r="A130" i="2"/>
  <c r="W129" i="2"/>
  <c r="V129" i="2"/>
  <c r="A129" i="2"/>
  <c r="W128" i="2"/>
  <c r="V128" i="2"/>
  <c r="A128" i="2"/>
  <c r="W127" i="2"/>
  <c r="V127" i="2"/>
  <c r="A127" i="2"/>
  <c r="W126" i="2"/>
  <c r="V126" i="2"/>
  <c r="A126" i="2"/>
  <c r="W125" i="2"/>
  <c r="V125" i="2"/>
  <c r="A125" i="2"/>
  <c r="W124" i="2"/>
  <c r="V124" i="2"/>
  <c r="A124" i="2"/>
  <c r="W123" i="2"/>
  <c r="V123" i="2"/>
  <c r="A123" i="2"/>
  <c r="W122" i="2"/>
  <c r="V122" i="2"/>
  <c r="A122" i="2"/>
  <c r="W121" i="2"/>
  <c r="V121" i="2"/>
  <c r="A121" i="2"/>
  <c r="W120" i="2"/>
  <c r="V120" i="2"/>
  <c r="A120" i="2"/>
  <c r="W119" i="2"/>
  <c r="V119" i="2"/>
  <c r="A119" i="2"/>
  <c r="W118" i="2"/>
  <c r="V118" i="2"/>
  <c r="A118" i="2"/>
  <c r="W117" i="2"/>
  <c r="V117" i="2"/>
  <c r="A117" i="2"/>
  <c r="W116" i="2"/>
  <c r="V116" i="2"/>
  <c r="A116" i="2"/>
  <c r="W115" i="2"/>
  <c r="V115" i="2"/>
  <c r="A115" i="2"/>
  <c r="W114" i="2"/>
  <c r="V114" i="2"/>
  <c r="A114" i="2"/>
  <c r="W113" i="2"/>
  <c r="V113" i="2"/>
  <c r="A113" i="2"/>
  <c r="W112" i="2"/>
  <c r="V112" i="2"/>
  <c r="A112" i="2"/>
  <c r="W111" i="2"/>
  <c r="V111" i="2"/>
  <c r="A111" i="2"/>
  <c r="W110" i="2"/>
  <c r="V110" i="2"/>
  <c r="A110" i="2"/>
  <c r="W109" i="2"/>
  <c r="V109" i="2"/>
  <c r="A109" i="2"/>
  <c r="W108" i="2"/>
  <c r="V108" i="2"/>
  <c r="A108" i="2"/>
  <c r="W107" i="2"/>
  <c r="V107" i="2"/>
  <c r="A107" i="2"/>
  <c r="W106" i="2"/>
  <c r="V106" i="2"/>
  <c r="A106" i="2"/>
  <c r="W105" i="2"/>
  <c r="V105" i="2"/>
  <c r="A105" i="2"/>
  <c r="W104" i="2"/>
  <c r="V104" i="2"/>
  <c r="A104" i="2"/>
  <c r="W103" i="2"/>
  <c r="V103" i="2"/>
  <c r="A103" i="2"/>
  <c r="W102" i="2"/>
  <c r="V102" i="2"/>
  <c r="A102" i="2"/>
  <c r="W101" i="2"/>
  <c r="V101" i="2"/>
  <c r="A101" i="2"/>
  <c r="W100" i="2"/>
  <c r="V100" i="2"/>
  <c r="A100" i="2"/>
  <c r="W99" i="2"/>
  <c r="V99" i="2"/>
  <c r="A99" i="2"/>
  <c r="W98" i="2"/>
  <c r="V98" i="2"/>
  <c r="A98" i="2"/>
  <c r="W97" i="2"/>
  <c r="V97" i="2"/>
  <c r="A97" i="2"/>
  <c r="W96" i="2"/>
  <c r="V96" i="2"/>
  <c r="A96" i="2"/>
  <c r="W95" i="2"/>
  <c r="V95" i="2"/>
  <c r="A95" i="2"/>
  <c r="W94" i="2"/>
  <c r="V94" i="2"/>
  <c r="A94" i="2"/>
  <c r="W93" i="2"/>
  <c r="V93" i="2"/>
  <c r="A93" i="2"/>
  <c r="W92" i="2"/>
  <c r="V92" i="2"/>
  <c r="A92" i="2"/>
  <c r="W91" i="2"/>
  <c r="V91" i="2"/>
  <c r="A91" i="2"/>
  <c r="W90" i="2"/>
  <c r="V90" i="2"/>
  <c r="A90" i="2"/>
  <c r="W89" i="2"/>
  <c r="V89" i="2"/>
  <c r="A89" i="2"/>
  <c r="W88" i="2"/>
  <c r="V88" i="2"/>
  <c r="A88" i="2"/>
  <c r="W87" i="2"/>
  <c r="V87" i="2"/>
  <c r="A87" i="2"/>
  <c r="W86" i="2"/>
  <c r="V86" i="2"/>
  <c r="A86" i="2"/>
  <c r="W85" i="2"/>
  <c r="V85" i="2"/>
  <c r="A85" i="2"/>
  <c r="W84" i="2"/>
  <c r="V84" i="2"/>
  <c r="A84" i="2"/>
  <c r="W83" i="2"/>
  <c r="V83" i="2"/>
  <c r="A83" i="2"/>
  <c r="W82" i="2"/>
  <c r="V82" i="2"/>
  <c r="A82" i="2"/>
  <c r="W81" i="2"/>
  <c r="V81" i="2"/>
  <c r="A81" i="2"/>
  <c r="W80" i="2"/>
  <c r="V80" i="2"/>
  <c r="A80" i="2"/>
  <c r="W79" i="2"/>
  <c r="V79" i="2"/>
  <c r="A79" i="2"/>
  <c r="W78" i="2"/>
  <c r="V78" i="2"/>
  <c r="A78" i="2"/>
  <c r="W77" i="2"/>
  <c r="V77" i="2"/>
  <c r="A77" i="2"/>
  <c r="W76" i="2"/>
  <c r="V76" i="2"/>
  <c r="A76" i="2"/>
  <c r="W75" i="2"/>
  <c r="V75" i="2"/>
  <c r="A75" i="2"/>
  <c r="W74" i="2"/>
  <c r="V74" i="2"/>
  <c r="A74" i="2"/>
  <c r="W73" i="2"/>
  <c r="V73" i="2"/>
  <c r="A73" i="2"/>
  <c r="W72" i="2"/>
  <c r="V72" i="2"/>
  <c r="A72" i="2"/>
  <c r="W71" i="2"/>
  <c r="V71" i="2"/>
  <c r="A71" i="2"/>
  <c r="W70" i="2"/>
  <c r="V70" i="2"/>
  <c r="A70" i="2"/>
  <c r="W69" i="2"/>
  <c r="V69" i="2"/>
  <c r="A69" i="2"/>
  <c r="W68" i="2"/>
  <c r="V68" i="2"/>
  <c r="A68" i="2"/>
  <c r="W67" i="2"/>
  <c r="V67" i="2"/>
  <c r="A67" i="2"/>
  <c r="W66" i="2"/>
  <c r="V66" i="2"/>
  <c r="A66" i="2"/>
  <c r="W65" i="2"/>
  <c r="V65" i="2"/>
  <c r="A65" i="2"/>
  <c r="W64" i="2"/>
  <c r="V64" i="2"/>
  <c r="A64" i="2"/>
  <c r="W63" i="2"/>
  <c r="V63" i="2"/>
  <c r="A63" i="2"/>
  <c r="W62" i="2"/>
  <c r="V62" i="2"/>
  <c r="A62" i="2"/>
  <c r="W61" i="2"/>
  <c r="V61" i="2"/>
  <c r="A61" i="2"/>
  <c r="W60" i="2"/>
  <c r="V60" i="2"/>
  <c r="A60" i="2"/>
  <c r="W59" i="2"/>
  <c r="V59" i="2"/>
  <c r="A59" i="2"/>
  <c r="W58" i="2"/>
  <c r="V58" i="2"/>
  <c r="A58" i="2"/>
  <c r="W57" i="2"/>
  <c r="V57" i="2"/>
  <c r="A57" i="2"/>
  <c r="W56" i="2"/>
  <c r="V56" i="2"/>
  <c r="A56" i="2"/>
  <c r="W55" i="2"/>
  <c r="V55" i="2"/>
  <c r="A55" i="2"/>
  <c r="W54" i="2"/>
  <c r="V54" i="2"/>
  <c r="A54" i="2"/>
  <c r="W53" i="2"/>
  <c r="V53" i="2"/>
  <c r="A53" i="2"/>
  <c r="W52" i="2"/>
  <c r="V52" i="2"/>
  <c r="A52" i="2"/>
  <c r="W51" i="2"/>
  <c r="V51" i="2"/>
  <c r="A51" i="2"/>
  <c r="W50" i="2"/>
  <c r="V50" i="2"/>
  <c r="A50" i="2"/>
  <c r="W49" i="2"/>
  <c r="V49" i="2"/>
  <c r="A49" i="2"/>
  <c r="W48" i="2"/>
  <c r="V48" i="2"/>
  <c r="A48" i="2"/>
  <c r="W47" i="2"/>
  <c r="V47" i="2"/>
  <c r="A47" i="2"/>
  <c r="W46" i="2"/>
  <c r="V46" i="2"/>
  <c r="A46" i="2"/>
  <c r="W45" i="2"/>
  <c r="V45" i="2"/>
  <c r="A45" i="2"/>
  <c r="W44" i="2"/>
  <c r="V44" i="2"/>
  <c r="A44" i="2"/>
  <c r="W43" i="2"/>
  <c r="V43" i="2"/>
  <c r="A43" i="2"/>
  <c r="W42" i="2"/>
  <c r="V42" i="2"/>
  <c r="A42" i="2"/>
  <c r="W41" i="2"/>
  <c r="V41" i="2"/>
  <c r="A41" i="2"/>
  <c r="W40" i="2"/>
  <c r="V40" i="2"/>
  <c r="A40" i="2"/>
  <c r="W39" i="2"/>
  <c r="V39" i="2"/>
  <c r="A39" i="2"/>
  <c r="W38" i="2"/>
  <c r="V38" i="2"/>
  <c r="A38" i="2"/>
  <c r="W37" i="2"/>
  <c r="V37" i="2"/>
  <c r="A37" i="2"/>
  <c r="W36" i="2"/>
  <c r="V36" i="2"/>
  <c r="A36" i="2"/>
  <c r="W35" i="2"/>
  <c r="V35" i="2"/>
  <c r="A35" i="2"/>
  <c r="W34" i="2"/>
  <c r="V34" i="2"/>
  <c r="A34" i="2"/>
  <c r="W33" i="2"/>
  <c r="V33" i="2"/>
  <c r="A33" i="2"/>
  <c r="W32" i="2"/>
  <c r="V32" i="2"/>
  <c r="A32" i="2"/>
  <c r="W31" i="2"/>
  <c r="V31" i="2"/>
  <c r="A31" i="2"/>
  <c r="W30" i="2"/>
  <c r="V30" i="2"/>
  <c r="A30" i="2"/>
  <c r="W29" i="2"/>
  <c r="V29" i="2"/>
  <c r="A29" i="2"/>
  <c r="W28" i="2"/>
  <c r="V28" i="2"/>
  <c r="A28" i="2"/>
  <c r="W27" i="2"/>
  <c r="V27" i="2"/>
  <c r="A27" i="2"/>
  <c r="W26" i="2"/>
  <c r="V26" i="2"/>
  <c r="A26" i="2"/>
  <c r="W25" i="2"/>
  <c r="V25" i="2"/>
  <c r="A25" i="2"/>
  <c r="W24" i="2"/>
  <c r="V24" i="2"/>
  <c r="A24" i="2"/>
  <c r="W23" i="2"/>
  <c r="V23" i="2"/>
  <c r="A23" i="2"/>
  <c r="W22" i="2"/>
  <c r="V22" i="2"/>
  <c r="A22" i="2"/>
  <c r="W21" i="2"/>
  <c r="V21" i="2"/>
  <c r="A21" i="2"/>
  <c r="W20" i="2"/>
  <c r="V20" i="2"/>
  <c r="A20" i="2"/>
  <c r="W19" i="2"/>
  <c r="V19" i="2"/>
  <c r="A19" i="2"/>
  <c r="W18" i="2"/>
  <c r="V18" i="2"/>
  <c r="A18" i="2"/>
  <c r="W17" i="2"/>
  <c r="V17" i="2"/>
  <c r="A17" i="2"/>
  <c r="W16" i="2"/>
  <c r="V16" i="2"/>
  <c r="A16" i="2"/>
  <c r="W15" i="2"/>
  <c r="V15" i="2"/>
  <c r="A15" i="2"/>
  <c r="W14" i="2"/>
  <c r="V14" i="2"/>
  <c r="A14" i="2"/>
  <c r="W13" i="2"/>
  <c r="V13" i="2"/>
  <c r="A13" i="2"/>
  <c r="W12" i="2"/>
  <c r="V12" i="2"/>
  <c r="A12" i="2"/>
  <c r="W11" i="2"/>
  <c r="V11" i="2"/>
  <c r="A11" i="2"/>
  <c r="W10" i="2"/>
  <c r="V10" i="2"/>
  <c r="A10" i="2"/>
  <c r="W9" i="2"/>
  <c r="V9" i="2"/>
  <c r="A9" i="2"/>
  <c r="W8" i="2"/>
  <c r="V8" i="2"/>
  <c r="A8" i="2"/>
  <c r="W7" i="2"/>
  <c r="V7" i="2"/>
  <c r="A7" i="2"/>
  <c r="W6" i="2"/>
  <c r="V6" i="2"/>
  <c r="A6" i="2"/>
  <c r="W5" i="2"/>
  <c r="V5" i="2"/>
  <c r="A5" i="2"/>
  <c r="A4" i="2"/>
  <c r="A3" i="2"/>
  <c r="A2" i="2"/>
  <c r="D134" i="3" l="1"/>
  <c r="E97" i="3"/>
  <c r="C97" i="3"/>
  <c r="A97" i="3"/>
  <c r="D97" i="3"/>
  <c r="B97" i="3"/>
  <c r="C96" i="3"/>
  <c r="E96" i="3"/>
  <c r="A96" i="3"/>
  <c r="D96" i="3"/>
  <c r="B96" i="3"/>
  <c r="A95" i="3"/>
  <c r="D95" i="3"/>
  <c r="E95" i="3"/>
  <c r="C95" i="3"/>
  <c r="B95" i="3"/>
  <c r="E40" i="3"/>
  <c r="D40" i="3"/>
  <c r="C40" i="3"/>
  <c r="B40" i="3"/>
  <c r="A40" i="3"/>
  <c r="G40" i="3"/>
  <c r="H40" i="3"/>
  <c r="F40" i="3"/>
  <c r="H39" i="3"/>
  <c r="G39" i="3"/>
  <c r="F39" i="3"/>
  <c r="D39" i="3"/>
  <c r="C39" i="3"/>
  <c r="B39" i="3"/>
  <c r="A39" i="3"/>
  <c r="E39" i="3"/>
  <c r="H38" i="3"/>
  <c r="G38" i="3"/>
  <c r="F38" i="3"/>
  <c r="E38" i="3"/>
  <c r="A38" i="3"/>
  <c r="B38" i="3"/>
  <c r="C38" i="3"/>
  <c r="D38" i="3"/>
  <c r="D37" i="3"/>
  <c r="C37" i="3"/>
  <c r="B37" i="3"/>
  <c r="A37" i="3"/>
  <c r="H37" i="3"/>
  <c r="G37" i="3"/>
  <c r="F37" i="3"/>
  <c r="E37" i="3"/>
  <c r="H36" i="3"/>
  <c r="G36" i="3"/>
  <c r="F36" i="3"/>
  <c r="D36" i="3"/>
  <c r="C36" i="3"/>
  <c r="B36" i="3"/>
  <c r="A36" i="3"/>
  <c r="E36" i="3"/>
  <c r="A94" i="3"/>
  <c r="B94" i="3"/>
  <c r="D94" i="3"/>
  <c r="E94" i="3"/>
  <c r="C94" i="3"/>
  <c r="D93" i="3"/>
  <c r="E93" i="3"/>
  <c r="A93" i="3"/>
  <c r="B93" i="3"/>
  <c r="C93" i="3"/>
  <c r="A92" i="3"/>
  <c r="E92" i="3"/>
  <c r="D92" i="3"/>
  <c r="B92" i="3"/>
  <c r="C92" i="3"/>
  <c r="A91" i="3"/>
  <c r="C91" i="3"/>
  <c r="E91" i="3"/>
  <c r="D91" i="3"/>
  <c r="B91" i="3"/>
  <c r="E90" i="3"/>
  <c r="D90" i="3"/>
  <c r="C90" i="3"/>
  <c r="B90" i="3"/>
  <c r="A90" i="3"/>
  <c r="A89" i="3"/>
  <c r="B89" i="3"/>
  <c r="D89" i="3"/>
  <c r="E89" i="3"/>
  <c r="C89" i="3"/>
  <c r="D88" i="3"/>
  <c r="B88" i="3"/>
  <c r="C88" i="3"/>
  <c r="E88" i="3"/>
  <c r="A88" i="3"/>
  <c r="G35" i="3"/>
  <c r="D35" i="3"/>
  <c r="B35" i="3"/>
  <c r="C35" i="3"/>
  <c r="A35" i="3"/>
  <c r="E35" i="3"/>
  <c r="H35" i="3"/>
  <c r="F35" i="3"/>
  <c r="F34" i="3"/>
  <c r="B34" i="3"/>
  <c r="C34" i="3"/>
  <c r="D34" i="3"/>
  <c r="E34" i="3"/>
  <c r="H34" i="3"/>
  <c r="G34" i="3"/>
  <c r="A34" i="3"/>
  <c r="F33" i="3"/>
  <c r="G33" i="3"/>
  <c r="H33" i="3"/>
  <c r="D33" i="3"/>
  <c r="C33" i="3"/>
  <c r="E33" i="3"/>
  <c r="B33" i="3"/>
  <c r="A33" i="3"/>
  <c r="F32" i="3"/>
  <c r="G32" i="3"/>
  <c r="H32" i="3"/>
  <c r="E32" i="3"/>
  <c r="D32" i="3"/>
  <c r="C32" i="3"/>
  <c r="B32" i="3"/>
  <c r="A32" i="3"/>
  <c r="G31" i="3"/>
  <c r="H31" i="3"/>
  <c r="A31" i="3"/>
  <c r="F31" i="3"/>
  <c r="E31" i="3"/>
  <c r="D31" i="3"/>
  <c r="C31" i="3"/>
  <c r="B31" i="3"/>
  <c r="A30" i="3"/>
  <c r="B30" i="3"/>
  <c r="C30" i="3"/>
  <c r="D30" i="3"/>
  <c r="F30" i="3"/>
  <c r="G30" i="3"/>
  <c r="H30" i="3"/>
  <c r="E30" i="3"/>
  <c r="A29" i="3"/>
  <c r="B29" i="3"/>
  <c r="H29" i="3"/>
  <c r="G29" i="3"/>
  <c r="C29" i="3"/>
  <c r="F29" i="3"/>
  <c r="E29" i="3"/>
  <c r="D29" i="3"/>
  <c r="A28" i="3"/>
  <c r="H28" i="3"/>
  <c r="G28" i="3"/>
  <c r="F28" i="3"/>
  <c r="E28" i="3"/>
  <c r="D28" i="3"/>
  <c r="C28" i="3"/>
  <c r="B28" i="3"/>
  <c r="B27" i="3"/>
  <c r="G27" i="3"/>
  <c r="H27" i="3"/>
  <c r="A27" i="3"/>
  <c r="C27" i="3"/>
  <c r="D27" i="3"/>
  <c r="E27" i="3"/>
  <c r="F27" i="3"/>
  <c r="B26" i="3"/>
  <c r="C26" i="3"/>
  <c r="E26" i="3"/>
  <c r="G26" i="3"/>
  <c r="D26" i="3"/>
  <c r="H26" i="3"/>
  <c r="F26" i="3"/>
  <c r="A26" i="3"/>
  <c r="A25" i="3"/>
  <c r="B25" i="3"/>
  <c r="C25" i="3"/>
  <c r="D25" i="3"/>
  <c r="E25" i="3"/>
  <c r="F25" i="3"/>
  <c r="G25" i="3"/>
  <c r="H25" i="3"/>
  <c r="B24" i="3"/>
  <c r="A24" i="3"/>
  <c r="H24" i="3"/>
  <c r="C24" i="3"/>
  <c r="D24" i="3"/>
  <c r="E24" i="3"/>
  <c r="F24" i="3"/>
  <c r="G24" i="3"/>
  <c r="A23" i="3"/>
  <c r="B23" i="3"/>
  <c r="G23" i="3"/>
  <c r="E23" i="3"/>
  <c r="F23" i="3" s="1"/>
  <c r="D23" i="3"/>
  <c r="C23" i="3"/>
  <c r="H23" i="3"/>
  <c r="G22" i="3"/>
  <c r="E22" i="3"/>
  <c r="F22" i="3" s="1"/>
  <c r="D22" i="3"/>
  <c r="B22" i="3"/>
  <c r="A22" i="3"/>
  <c r="H22" i="3"/>
  <c r="C22" i="3"/>
</calcChain>
</file>

<file path=xl/sharedStrings.xml><?xml version="1.0" encoding="utf-8"?>
<sst xmlns="http://schemas.openxmlformats.org/spreadsheetml/2006/main" count="657" uniqueCount="507">
  <si>
    <t>PLANILHA DO ANALISTA v3.4 — JULIANA SANTOS</t>
  </si>
  <si>
    <t>Torre Financeira CSC · Departamento E — Processos Integrados · Supervisora: Juliana Batista</t>
  </si>
  <si>
    <t>Como usar esta planilha</t>
  </si>
  <si>
    <t>1. Este arquivo pertence a Juliana Santos (Departamento E — Processos Integrados). Salve como: Analista_JS_Juliana.xlsx.</t>
  </si>
  <si>
    <t>2. Uma linha = uma atividade/entrega, na aba "Lançamentos". Preencha da esquerda para a direita.</t>
  </si>
  <si>
    <t>3. ID ÚNICO: seu prefixo exclusivo é "JS". O ID é gerado sozinho (JS-0001, JS-0002...). NUNCA altere o prefixo nem digite IDs manualmente — é ele que garante que nenhum ID se repita entre os 4 analistas na consolidação da Juliana.</t>
  </si>
  <si>
    <t>4. NÃO EXCLUA linhas já lançadas (isso renumeraria os IDs). Se uma atividade for descartada, use Status = Cancelado.</t>
  </si>
  <si>
    <t>5. Listas dependentes: escolha o Projeto antes do Tema, o Pilar antes do Tipo de Demanda, e o Depto. Envolvido antes da Pessoa Envolvida.</t>
  </si>
  <si>
    <t>6. RESULTADO ALCANÇADO: descreva em 1-2 frases o que a entrega gerou de concreto. Esse texto alimenta o report mensal.</t>
  </si>
  <si>
    <t>7. GANHO DE PRODUTIVIDADE: se a entrega reduziu um processo recorrente, informe Tempo Antes e Tempo Depois em HORAS POR MÊS. Ganho e % Redução calculam sozinhos.</t>
  </si>
  <si>
    <t>8. TRABALHO EM PARCERIA (2+ pessoas na mesma atividade): apenas UM participante é o Responsável — ele registra a atividade completa (antes/depois, resultado) e lista os colegas em "Parceiros". Os demais lançam uma linha com Papel = Apoio, SUAS horas, e o ID da Atividade Principal do responsável (ex.: FM-0002). Linhas de Apoio não repetem Tempo Antes/Depois — assim nada conta em dobro no report.</t>
  </si>
  <si>
    <t>9. Ao final da semana, envie/salve o arquivo na pasta compartilhada para a consolidação da supervisora.</t>
  </si>
  <si>
    <t>10. ACOMPANHAMENTO SEMANAL: antes da reunião com a gestora, preencha a aba "Acompanhamento Semanal" (~5 min): informe o período, a Carteira em Aberto (seção 2), as Entregas Concluídas (seção 4) e os Indicadores (seção 9) preenchem SOZINHOS a partir dos Lançamentos — inclusive o Status da Semana sugerido e os Dias em Aberto de cada atividade. No Complemento Semanal (seção 3), digite apenas a Semana e o ID: Projeto, Atividade e Status sugerido vêm automáticos; você complementa motivo, o que foi feito, apoio e previsão.</t>
  </si>
  <si>
    <t>11. ATIVIDADE QUE ATRAVESSA SEMANAS: enquanto não concluir, a MESMA atividade deve ser reportada em TODAS as semanas — adicione uma NOVA linha na seção 3 com a semana atual e mantenha as linhas anteriores como histórico. A coluna "Semanas Reportadas" conta sozinha há quantas semanas o item está em aberto (3+ fica vermelho = sinal de gargalo para a gestora montar plano de ação).</t>
  </si>
  <si>
    <t>Regras de ouro</t>
  </si>
  <si>
    <t>• Nunca digite valores fora das listas suspensas — isso quebra a consolidação automática.</t>
  </si>
  <si>
    <t>• Tempo Antes/Depois é do PROCESSO melhorado (h/mês); Horas Gastas é o SEU esforço na entrega.</t>
  </si>
  <si>
    <t>• As linhas de exemplo são para teste — exclua todas de uma vez antes do primeiro uso oficial (excluir todas juntas não afeta a regra de ID).</t>
  </si>
  <si>
    <t>Identificação</t>
  </si>
  <si>
    <t>Nome do Analista:</t>
  </si>
  <si>
    <t>Juliana Santos</t>
  </si>
  <si>
    <t>Prefixo de ID:</t>
  </si>
  <si>
    <t>JS</t>
  </si>
  <si>
    <t>(exclusivo — não alterar)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</si>
  <si>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</si>
  <si>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</si>
  <si>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</si>
  <si>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</si>
  <si>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</si>
  <si>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</si>
  <si>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</si>
  <si>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</si>
  <si>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</si>
  <si>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</si>
  <si>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</si>
  <si>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</si>
  <si>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</si>
  <si>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</si>
  <si>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</si>
  <si>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</si>
  <si>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</si>
  <si>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</si>
  <si>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</si>
  <si>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</si>
  <si>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</si>
  <si>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</si>
  <si>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</si>
  <si>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</si>
  <si>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</si>
  <si>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</si>
  <si>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</si>
  <si>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</si>
  <si>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</si>
  <si>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</si>
  <si>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Torre Financeira - CSC</t>
  </si>
  <si>
    <t>V360</t>
  </si>
  <si>
    <t>Dashboard de Produtividade</t>
  </si>
  <si>
    <t>Business Intelligence</t>
  </si>
  <si>
    <t>Dashboard</t>
  </si>
  <si>
    <t>CSC Corporativo</t>
  </si>
  <si>
    <t>Jan Carlos</t>
  </si>
  <si>
    <t>Não</t>
  </si>
  <si>
    <t>Responsável</t>
  </si>
  <si>
    <t>Todas</t>
  </si>
  <si>
    <t>Concluído</t>
  </si>
  <si>
    <t>Fiscal/Contábil</t>
  </si>
  <si>
    <t>Saneamento Base Contábil</t>
  </si>
  <si>
    <t>Adiantamento de Clientes</t>
  </si>
  <si>
    <t>Melhoria Contínua</t>
  </si>
  <si>
    <t>Gargalo eliminado</t>
  </si>
  <si>
    <t>Contabilidade</t>
  </si>
  <si>
    <t>Magnum Brandão (Técnico)</t>
  </si>
  <si>
    <t>CHESF</t>
  </si>
  <si>
    <t>Aguardando terceiros</t>
  </si>
  <si>
    <t>Financeiro</t>
  </si>
  <si>
    <t>Rotina Financeiro</t>
  </si>
  <si>
    <t>Conciliações Financeiras</t>
  </si>
  <si>
    <t>Operação (Rotina)</t>
  </si>
  <si>
    <t>Conciliação</t>
  </si>
  <si>
    <t>Tesouraria</t>
  </si>
  <si>
    <t>Erica Arcoverde (Supervisora)</t>
  </si>
  <si>
    <t>Em andamento</t>
  </si>
  <si>
    <t>ACOMPANHAMENTO SEMANAL</t>
  </si>
  <si>
    <t>Check-in de gestão (15-30 min) · Complementa a aba Lançamentos, nunca a substitui</t>
  </si>
  <si>
    <t>IDENTIFICAÇÃO</t>
  </si>
  <si>
    <t>Semana (nº / descrição):</t>
  </si>
  <si>
    <t>Período — de:</t>
  </si>
  <si>
    <t>até:</t>
  </si>
  <si>
    <t>Analista:</t>
  </si>
  <si>
    <t>Gestora:</t>
  </si>
  <si>
    <t>Data do Report:</t>
  </si>
  <si>
    <t>1. RESUMO EXECUTIVO DA SEMANA (analista)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</si>
  <si>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</si>
  <si>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</si>
  <si>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</si>
  <si>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</si>
  <si>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</si>
  <si>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</si>
  <si>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2. CARTEIRA EM ABERTO (automático — tudo que ainda não foi concluído nos Lançamentos)</t>
  </si>
  <si>
    <t>ID</t>
  </si>
  <si>
    <t>Atividade</t>
  </si>
  <si>
    <t>Status (Lançamento)</t>
  </si>
  <si>
    <t>Status da Semana (sugerido)</t>
  </si>
  <si>
    <t>Dias em Aberto</t>
  </si>
  <si>
    <t>3. COMPLEMENTO SEMANAL — repita a atividade TODA semana até concluir (o histórico fica aqui)</t>
  </si>
  <si>
    <t>Semana</t>
  </si>
  <si>
    <t>Projeto (auto)</t>
  </si>
  <si>
    <t>Atividade (auto)</t>
  </si>
  <si>
    <t>Status da Semana (sugerido — pode alterar)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</si>
  <si>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</si>
  <si>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</si>
  <si>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</si>
  <si>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</si>
  <si>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</si>
  <si>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</si>
  <si>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</si>
  <si>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</si>
  <si>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4. ENTREGAS CONCLUÍDAS NA SEMANA (automático — não digitar)</t>
  </si>
  <si>
    <t>Horas</t>
  </si>
  <si>
    <t>Resultado</t>
  </si>
  <si>
    <t>5. PENDÊNCIAS</t>
  </si>
  <si>
    <t>Pendência</t>
  </si>
  <si>
    <t>Impacto</t>
  </si>
  <si>
    <t>Prazo</t>
  </si>
  <si>
    <t>6. IMPEDIMENTOS — o que está impedindo você de entregar?</t>
  </si>
  <si>
    <t>Impedimento</t>
  </si>
  <si>
    <t>Categoria</t>
  </si>
  <si>
    <t>ID Atividade</t>
  </si>
  <si>
    <t>Desde</t>
  </si>
  <si>
    <t>7. APOIO NECESSÁRIO (o gestor age aqui)</t>
  </si>
  <si>
    <t>Necessidade</t>
  </si>
  <si>
    <t>Prioridade</t>
  </si>
  <si>
    <t>8. PRÓXIMAS ENTREGAS (planejamento)</t>
  </si>
  <si>
    <t>Status da Semana</t>
  </si>
  <si>
    <t>9. INDICADORES E GANHOS DA SEMANA (automático)</t>
  </si>
  <si>
    <t>Entregas concluídas na semana</t>
  </si>
  <si>
    <t>Atividades em andamento (carteira)</t>
  </si>
  <si>
    <t>Bloqueadas (seção 3)</t>
  </si>
  <si>
    <t>Aguardando terceiros (carteira)</t>
  </si>
  <si>
    <t>Horas das entregas da semana</t>
  </si>
  <si>
    <t>Ganho de produtividade gerado (h/mês)</t>
  </si>
  <si>
    <t>Automações concluídos na semana</t>
  </si>
  <si>
    <t>Dashboards concluídos na semana</t>
  </si>
  <si>
    <t>POPs concluídos na semana</t>
  </si>
  <si>
    <t>Fluxogramas concluídos na semana</t>
  </si>
  <si>
    <t>Agentes de IA concluídos na semana</t>
  </si>
  <si>
    <t>10. APRENDIZADOS</t>
  </si>
  <si>
    <t>Boa prática descoberta</t>
  </si>
  <si>
    <t>Problema recorrente</t>
  </si>
  <si>
    <t>Sugestão de melhoria</t>
  </si>
  <si>
    <t>Lição aprendida</t>
  </si>
  <si>
    <t>11. COMUNICAÇÃO COM O GESTOR (vira histórico)</t>
  </si>
  <si>
    <t>Mensagem do Analista</t>
  </si>
  <si>
    <t>Resposta do Gestor</t>
  </si>
  <si>
    <t>12. AVALIAÇÃO DO GESTOR (exclusivo da supervisora)</t>
  </si>
  <si>
    <t>Performance</t>
  </si>
  <si>
    <t>Qualidade</t>
  </si>
  <si>
    <t>Prioridade da próxima semana</t>
  </si>
  <si>
    <t>Feedback</t>
  </si>
  <si>
    <t>13. RADAR SEMANAL (semáforo em 10 segundos)</t>
  </si>
  <si>
    <t>Volume de trabalho</t>
  </si>
  <si>
    <t>Dependências</t>
  </si>
  <si>
    <t>Risco</t>
  </si>
  <si>
    <t>RESUMO — JULIANA SANTOS (JS)</t>
  </si>
  <si>
    <t>Calculado automaticamente a partir da aba Lançamentos</t>
  </si>
  <si>
    <t>VISÃO GERAL</t>
  </si>
  <si>
    <t>Total de lançamentos</t>
  </si>
  <si>
    <t>Entregas como Responsável</t>
  </si>
  <si>
    <t>Linhas de Apoio (parcerias)</t>
  </si>
  <si>
    <t>Concluídos</t>
  </si>
  <si>
    <t>Horas gastas (total)</t>
  </si>
  <si>
    <t>POR PROJETO</t>
  </si>
  <si>
    <t>Item</t>
  </si>
  <si>
    <t>Total</t>
  </si>
  <si>
    <t>Concluídas</t>
  </si>
  <si>
    <t>Ganho h/mês</t>
  </si>
  <si>
    <t>Lumen</t>
  </si>
  <si>
    <t>Newsletter</t>
  </si>
  <si>
    <t>Rotina Fiscal/Contábil</t>
  </si>
  <si>
    <t>Investidas</t>
  </si>
  <si>
    <t>Actio</t>
  </si>
  <si>
    <t>Indicadores e Metas</t>
  </si>
  <si>
    <t>POR PILAR DE PROCESSOS INTEGRADOS</t>
  </si>
  <si>
    <t>Governança</t>
  </si>
  <si>
    <t>Transformação Digital</t>
  </si>
  <si>
    <t>PMO / Projetos</t>
  </si>
  <si>
    <t>POR DEPARTAMENTO ENVOLVIDO (CSC)</t>
  </si>
  <si>
    <t>Contas a Receber</t>
  </si>
  <si>
    <t>Auditoria Financeira CSC</t>
  </si>
  <si>
    <t>Recebimento Fiscal</t>
  </si>
  <si>
    <t>Cartão Corporativo</t>
  </si>
  <si>
    <t>Tributos Federais</t>
  </si>
  <si>
    <t>Tributos Estaduais</t>
  </si>
  <si>
    <t>Faturamento</t>
  </si>
  <si>
    <t>Gestão</t>
  </si>
  <si>
    <t>CADASTROS MESTRES v3.4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</si>
  <si>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</si>
  <si>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</si>
  <si>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</si>
  <si>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</si>
  <si>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</si>
  <si>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</si>
  <si>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</si>
  <si>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</si>
  <si>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</si>
  <si>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</si>
  <si>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</si>
  <si>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</si>
  <si>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</si>
  <si>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</si>
  <si>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</si>
  <si>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</si>
  <si>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</si>
  <si>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</si>
  <si>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Não iniciado</t>
  </si>
  <si>
    <t>ELET</t>
  </si>
  <si>
    <t>Alta</t>
  </si>
  <si>
    <t>Alto</t>
  </si>
  <si>
    <t>Tempo</t>
  </si>
  <si>
    <t>Sim</t>
  </si>
  <si>
    <t>José Victor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</si>
  <si>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</si>
  <si>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</si>
  <si>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</si>
  <si>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</si>
  <si>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</si>
  <si>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</si>
  <si>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</si>
  <si>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</si>
  <si>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</si>
  <si>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PIS/COFINS</t>
  </si>
  <si>
    <t>Adiantamento de Fornecedores</t>
  </si>
  <si>
    <t>M01 - Normas Gerais da Tributação do Consumo</t>
  </si>
  <si>
    <t>EFD ICMS/IPI</t>
  </si>
  <si>
    <t>Pagamentos a Fornecedores</t>
  </si>
  <si>
    <t>Geral</t>
  </si>
  <si>
    <t>POP elaborado/atualizado</t>
  </si>
  <si>
    <t>Automação</t>
  </si>
  <si>
    <t>Projeto/Sprint gerenciado</t>
  </si>
  <si>
    <t>Obrigação Acessória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</si>
  <si>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</si>
  <si>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</si>
  <si>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</si>
  <si>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</si>
  <si>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</si>
  <si>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</si>
  <si>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Yuri Medeiros (Técnico)</t>
  </si>
  <si>
    <t>Emerson Pontes (Técnico)</t>
  </si>
  <si>
    <t>Rone Ferreira (Gerente)</t>
  </si>
  <si>
    <t>Média</t>
  </si>
  <si>
    <t>Médio</t>
  </si>
  <si>
    <t>Apoio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</si>
  <si>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</si>
  <si>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</si>
  <si>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</si>
  <si>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</si>
  <si>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</si>
  <si>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</si>
  <si>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</si>
  <si>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</si>
  <si>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</si>
  <si>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</si>
  <si>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</si>
  <si>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Dashboard Entrada de NF - SAP x V360</t>
  </si>
  <si>
    <t>M02 - Comércio Internacional</t>
  </si>
  <si>
    <t>EFD Contribuições</t>
  </si>
  <si>
    <t>Pagamento de Tributos (DARF/GPS)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</si>
  <si>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</si>
  <si>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</si>
  <si>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</si>
  <si>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</si>
  <si>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</si>
  <si>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</si>
  <si>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KPI/Indicador publicado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</si>
  <si>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</si>
  <si>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</si>
  <si>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</si>
  <si>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</si>
  <si>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</si>
  <si>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</si>
  <si>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</si>
  <si>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</si>
  <si>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</si>
  <si>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</si>
  <si>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</si>
  <si>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</si>
  <si>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Angela Ritchie (Coordenadora)</t>
  </si>
  <si>
    <t>Em validação</t>
  </si>
  <si>
    <t>ENOR</t>
  </si>
  <si>
    <t>Baixa</t>
  </si>
  <si>
    <t>Baixo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</si>
  <si>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</si>
  <si>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</si>
  <si>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</si>
  <si>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</si>
  <si>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</si>
  <si>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</si>
  <si>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</si>
  <si>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</si>
  <si>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</si>
  <si>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</si>
  <si>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Dashboard Entrada de NF - TicketLog x V360</t>
  </si>
  <si>
    <t>PIS e COFINS a Recuperar</t>
  </si>
  <si>
    <t>M03 - FCBF - ICMS</t>
  </si>
  <si>
    <t>ECD</t>
  </si>
  <si>
    <t>Contas de Concessionárias</t>
  </si>
  <si>
    <t>Apurações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</si>
  <si>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</si>
  <si>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</si>
  <si>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</si>
  <si>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</si>
  <si>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</si>
  <si>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</si>
  <si>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</si>
  <si>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</si>
  <si>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</si>
  <si>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</si>
  <si>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</si>
  <si>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</si>
  <si>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</si>
  <si>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</si>
  <si>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</si>
  <si>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</si>
  <si>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</si>
  <si>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</si>
  <si>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ESUL</t>
  </si>
  <si>
    <t>Operação</t>
  </si>
  <si>
    <t>Filipe Messias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</si>
  <si>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</si>
  <si>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</si>
  <si>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</si>
  <si>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</si>
  <si>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</si>
  <si>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</si>
  <si>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</si>
  <si>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</si>
  <si>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</si>
  <si>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</si>
  <si>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</si>
  <si>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</si>
  <si>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</si>
  <si>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</si>
  <si>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</si>
  <si>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</si>
  <si>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</si>
  <si>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</si>
  <si>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</si>
  <si>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</si>
  <si>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</si>
  <si>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</si>
  <si>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</si>
  <si>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Maria Estela</t>
  </si>
  <si>
    <t>Flavius de Oliveira</t>
  </si>
  <si>
    <t>José Paulo Farias</t>
  </si>
  <si>
    <t>Jonnathan dos Santos</t>
  </si>
  <si>
    <t>Ademilson Jerônimo</t>
  </si>
  <si>
    <t>Diogo Calado (Especialista Tributário)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</si>
  <si>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</si>
  <si>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</si>
  <si>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</si>
  <si>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</si>
  <si>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</si>
  <si>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</si>
  <si>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</si>
  <si>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</si>
  <si>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</si>
  <si>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</si>
  <si>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</si>
  <si>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</si>
  <si>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</si>
  <si>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</si>
  <si>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</si>
  <si>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</si>
  <si>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OCR/Processamento de Documentos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</si>
  <si>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</si>
  <si>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</si>
  <si>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</si>
  <si>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</si>
  <si>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</si>
  <si>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</si>
  <si>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</si>
  <si>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</si>
  <si>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</si>
  <si>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</si>
  <si>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Cancelado</t>
  </si>
  <si>
    <t>Outra</t>
  </si>
  <si>
    <t>Tecnologia</t>
  </si>
  <si>
    <t>Aguardando outra área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</si>
  <si>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</si>
  <si>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</si>
  <si>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</si>
  <si>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</si>
  <si>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</si>
  <si>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</si>
  <si>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</si>
  <si>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</si>
  <si>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</si>
  <si>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Publicação/Conteúdo Técnico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</si>
  <si>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</si>
  <si>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</si>
  <si>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</si>
  <si>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</si>
  <si>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</si>
  <si>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</si>
  <si>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</si>
  <si>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</si>
  <si>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</si>
  <si>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</si>
  <si>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</si>
  <si>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N/A</t>
  </si>
  <si>
    <t>Pessoas</t>
  </si>
  <si>
    <t>Em homologação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</si>
  <si>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</si>
  <si>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</si>
  <si>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</si>
  <si>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</si>
  <si>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</si>
  <si>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</si>
  <si>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</si>
  <si>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</si>
  <si>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</si>
  <si>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</si>
  <si>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</si>
  <si>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</si>
  <si>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</si>
  <si>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</si>
  <si>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</si>
  <si>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</si>
  <si>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TemaActio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</si>
  <si>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</si>
  <si>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</si>
  <si>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</si>
  <si>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</si>
  <si>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</si>
  <si>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</si>
  <si>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</si>
  <si>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</si>
  <si>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</si>
  <si>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</si>
  <si>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</si>
  <si>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</si>
  <si>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</si>
  <si>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</si>
  <si>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</si>
  <si>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</si>
  <si>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</si>
  <si>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</si>
  <si>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</si>
  <si>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</si>
  <si>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</si>
  <si>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</si>
  <si>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</si>
  <si>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</si>
  <si>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</si>
  <si>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</si>
  <si>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</si>
  <si>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</si>
  <si>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</si>
  <si>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</si>
  <si>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</si>
  <si>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</si>
  <si>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</si>
  <si>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</si>
  <si>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</si>
  <si>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</si>
  <si>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</si>
  <si>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</si>
  <si>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</si>
  <si>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</si>
  <si>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</si>
  <si>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</si>
  <si>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</si>
  <si>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</si>
  <si>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</si>
  <si>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</si>
  <si>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</si>
  <si>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</si>
  <si>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</si>
  <si>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</si>
  <si>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</si>
  <si>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</si>
  <si>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</si>
  <si>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Daiane Vicente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</si>
  <si>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</si>
  <si>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</si>
  <si>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</si>
  <si>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</si>
  <si>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</si>
  <si>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</si>
  <si>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</si>
  <si>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</si>
  <si>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</si>
  <si>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</si>
  <si>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</si>
  <si>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</si>
  <si>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</si>
  <si>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</si>
  <si>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</si>
  <si>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</si>
  <si>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</si>
  <si>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</si>
  <si>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</si>
  <si>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</si>
  <si>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VL</t>
  </si>
  <si>
    <t>FM</t>
  </si>
  <si>
    <t>JB</t>
  </si>
  <si>
    <t>Cada analista usa exclusivamente o seu prefixo. O ID é gerado automaticamente (PREFIXO-0001, PREFIXO-0002...), portanto nunca haverá repetição entre as planilhas da equipe.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</si>
</sst>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u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E0"/>
        <bgColor rgb="FFFFF2CC"/>
      </patternFill>
    </fill>
    <fill>
      <patternFill patternType="solid">
        <fgColor rgb="FFFFF2CC"/>
        <bgColor rgb="FFFBF3E0"/>
      </patternFill>
    </fill>
    <fill>
      <patternFill patternType="solid">
        <fgColor rgb="FFF2F2F2"/>
        <bgColor rgb="FFFBF3E0"/>
      </patternFill>
    </fill>
    <fill>
      <patternFill patternType="solid">
        <fgColor rgb="FFC9A227"/>
        <bgColor rgb="FF99CC0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8" fillId="5" borderId="1" xfId="0" applyFont="1" applyFill="1" applyBorder="1"/>
    <xf numFmtId="0" fontId="8" fillId="0" borderId="1" xfId="0" applyFont="1" applyBorder="1"/>
    <xf numFmtId="0" fontId="10" fillId="6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8" fillId="3" borderId="1" xfId="0" applyFont="1" applyFill="1" applyBorder="1"/>
    <xf numFmtId="0" fontId="5" fillId="3" borderId="1" xfId="0" applyFont="1" applyFill="1" applyBorder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4" fontId="0" fillId="4" borderId="2" xfId="0" applyNumberFormat="1" applyFill="1" applyBorder="1"/>
    <xf numFmtId="0" fontId="8" fillId="0" borderId="2" xfId="0" applyFont="1" applyBorder="1"/>
    <xf numFmtId="1" fontId="5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/>
    <xf numFmtId="9" fontId="8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4" fontId="8" fillId="0" borderId="2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0" fontId="8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/>
    <xf numFmtId="0" fontId="5" fillId="5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/>
    <xf numFmtId="0" fontId="7" fillId="0" borderId="0" xfId="0" applyFont="1" applyAlignment="1">
      <alignment horizontal="left" vertical="top" wrapText="1"/>
    </xf>
    <xf numFmtId="14" fontId="11" fillId="0" borderId="0" xfId="0" applyNumberFormat="1" applyFont="1"/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E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8" width="16" customWidth="1"/>
  </cols>
  <sheetData>
    <row r="1" spans="1:8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35">
      <c r="A2" s="13" t="s">
        <v>1</v>
      </c>
      <c r="B2" s="13"/>
      <c r="C2" s="13"/>
      <c r="D2" s="13"/>
      <c r="E2" s="13"/>
      <c r="F2" s="13"/>
      <c r="G2" s="13"/>
      <c r="H2" s="13"/>
    </row>
    <row r="4" spans="1:8" ht="19.5" customHeight="1" x14ac:dyDescent="0.35">
      <c r="A4" s="12" t="s">
        <v>2</v>
      </c>
      <c r="B4" s="12"/>
      <c r="C4" s="12"/>
      <c r="D4" s="12"/>
      <c r="E4" s="12"/>
      <c r="F4" s="12"/>
      <c r="G4" s="12"/>
      <c r="H4" s="12"/>
    </row>
    <row r="5" spans="1:8" ht="30" customHeight="1" x14ac:dyDescent="0.35">
      <c r="A5" s="11" t="s">
        <v>3</v>
      </c>
      <c r="B5" s="11"/>
      <c r="C5" s="11"/>
      <c r="D5" s="11"/>
      <c r="E5" s="11"/>
      <c r="F5" s="11"/>
      <c r="G5" s="11"/>
      <c r="H5" s="11"/>
    </row>
    <row r="6" spans="1:8" ht="15" customHeight="1" x14ac:dyDescent="0.35">
      <c r="A6" s="11" t="s">
        <v>4</v>
      </c>
      <c r="B6" s="11"/>
      <c r="C6" s="11"/>
      <c r="D6" s="11"/>
      <c r="E6" s="11"/>
      <c r="F6" s="11"/>
      <c r="G6" s="11"/>
      <c r="H6" s="11"/>
    </row>
    <row r="7" spans="1:8" ht="45" customHeight="1" x14ac:dyDescent="0.35">
      <c r="A7" s="11" t="s">
        <v>5</v>
      </c>
      <c r="B7" s="11"/>
      <c r="C7" s="11"/>
      <c r="D7" s="11"/>
      <c r="E7" s="11"/>
      <c r="F7" s="11"/>
      <c r="G7" s="11"/>
      <c r="H7" s="11"/>
    </row>
    <row r="8" spans="1:8" ht="30" customHeight="1" x14ac:dyDescent="0.35">
      <c r="A8" s="11" t="s">
        <v>6</v>
      </c>
      <c r="B8" s="11"/>
      <c r="C8" s="11"/>
      <c r="D8" s="11"/>
      <c r="E8" s="11"/>
      <c r="F8" s="11"/>
      <c r="G8" s="11"/>
      <c r="H8" s="11"/>
    </row>
    <row r="9" spans="1:8" ht="30" customHeight="1" x14ac:dyDescent="0.35">
      <c r="A9" s="11" t="s">
        <v>7</v>
      </c>
      <c r="B9" s="11"/>
      <c r="C9" s="11"/>
      <c r="D9" s="11"/>
      <c r="E9" s="11"/>
      <c r="F9" s="11"/>
      <c r="G9" s="11"/>
      <c r="H9" s="11"/>
    </row>
    <row r="10" spans="1:8" ht="30" customHeight="1" x14ac:dyDescent="0.35">
      <c r="A10" s="11" t="s">
        <v>8</v>
      </c>
      <c r="B10" s="11"/>
      <c r="C10" s="11"/>
      <c r="D10" s="11"/>
      <c r="E10" s="11"/>
      <c r="F10" s="11"/>
      <c r="G10" s="11"/>
      <c r="H10" s="11"/>
    </row>
    <row r="11" spans="1:8" ht="30" customHeight="1" x14ac:dyDescent="0.35">
      <c r="A11" s="11" t="s">
        <v>9</v>
      </c>
      <c r="B11" s="11"/>
      <c r="C11" s="11"/>
      <c r="D11" s="11"/>
      <c r="E11" s="11"/>
      <c r="F11" s="11"/>
      <c r="G11" s="11"/>
      <c r="H11" s="11"/>
    </row>
    <row r="12" spans="1:8" ht="60" customHeight="1" x14ac:dyDescent="0.35">
      <c r="A12" s="11" t="s">
        <v>10</v>
      </c>
      <c r="B12" s="11"/>
      <c r="C12" s="11"/>
      <c r="D12" s="11"/>
      <c r="E12" s="11"/>
      <c r="F12" s="11"/>
      <c r="G12" s="11"/>
      <c r="H12" s="11"/>
    </row>
    <row r="13" spans="1:8" ht="15" customHeight="1" x14ac:dyDescent="0.35">
      <c r="A13" s="11" t="s">
        <v>11</v>
      </c>
      <c r="B13" s="11"/>
      <c r="C13" s="11"/>
      <c r="D13" s="11"/>
      <c r="E13" s="11"/>
      <c r="F13" s="11"/>
      <c r="G13" s="11"/>
      <c r="H13" s="11"/>
    </row>
    <row r="14" spans="1:8" ht="75" customHeight="1" x14ac:dyDescent="0.35">
      <c r="A14" s="11" t="s">
        <v>12</v>
      </c>
      <c r="B14" s="11"/>
      <c r="C14" s="11"/>
      <c r="D14" s="11"/>
      <c r="E14" s="11"/>
      <c r="F14" s="11"/>
      <c r="G14" s="11"/>
      <c r="H14" s="11"/>
    </row>
    <row r="15" spans="1:8" ht="60" customHeight="1" x14ac:dyDescent="0.35">
      <c r="A15" s="11" t="s">
        <v>13</v>
      </c>
      <c r="B15" s="11"/>
      <c r="C15" s="11"/>
      <c r="D15" s="11"/>
      <c r="E15" s="11"/>
      <c r="F15" s="11"/>
      <c r="G15" s="11"/>
      <c r="H15" s="11"/>
    </row>
    <row r="16" spans="1:8" ht="19.5" customHeight="1" x14ac:dyDescent="0.35">
      <c r="A16" s="12" t="s">
        <v>14</v>
      </c>
      <c r="B16" s="12"/>
      <c r="C16" s="12"/>
      <c r="D16" s="12"/>
      <c r="E16" s="12"/>
      <c r="F16" s="12"/>
      <c r="G16" s="12"/>
      <c r="H16" s="12"/>
    </row>
    <row r="17" spans="1:8" ht="15" customHeight="1" x14ac:dyDescent="0.35">
      <c r="A17" s="11" t="s">
        <v>15</v>
      </c>
      <c r="B17" s="11"/>
      <c r="C17" s="11"/>
      <c r="D17" s="11"/>
      <c r="E17" s="11"/>
      <c r="F17" s="11"/>
      <c r="G17" s="11"/>
      <c r="H17" s="11"/>
    </row>
    <row r="18" spans="1:8" ht="15" customHeight="1" x14ac:dyDescent="0.35">
      <c r="A18" s="11" t="s">
        <v>16</v>
      </c>
      <c r="B18" s="11"/>
      <c r="C18" s="11"/>
      <c r="D18" s="11"/>
      <c r="E18" s="11"/>
      <c r="F18" s="11"/>
      <c r="G18" s="11"/>
      <c r="H18" s="11"/>
    </row>
    <row r="19" spans="1:8" ht="30" customHeight="1" x14ac:dyDescent="0.35">
      <c r="A19" s="11" t="s">
        <v>17</v>
      </c>
      <c r="B19" s="11"/>
      <c r="C19" s="11"/>
      <c r="D19" s="11"/>
      <c r="E19" s="11"/>
      <c r="F19" s="11"/>
      <c r="G19" s="11"/>
      <c r="H19" s="11"/>
    </row>
    <row r="20" spans="1:8" ht="19.5" customHeight="1" x14ac:dyDescent="0.35">
      <c r="A20" s="12" t="s">
        <v>18</v>
      </c>
      <c r="B20" s="12"/>
      <c r="C20" s="12"/>
      <c r="D20" s="12"/>
      <c r="E20" s="12"/>
      <c r="F20" s="12"/>
      <c r="G20" s="12"/>
      <c r="H20" s="12"/>
    </row>
    <row r="21" spans="1:8" x14ac:dyDescent="0.35">
      <c r="A21" s="15" t="s">
        <v>19</v>
      </c>
      <c r="B21" s="10" t="s">
        <v>20</v>
      </c>
      <c r="C21" s="10"/>
      <c r="D21" s="10"/>
    </row>
    <row r="22" spans="1:8" ht="15.5" x14ac:dyDescent="0.35">
      <c r="A22" s="15" t="s">
        <v>21</v>
      </c>
      <c r="B22" s="16" t="s">
        <v>22</v>
      </c>
      <c r="C22" s="17" t="s">
        <v>23</v>
      </c>
    </row>
    <row r="23" spans="1:8" x14ac:dyDescent="0.35">
      <c r="A23" s="15" t="s">
        <v>24</v>
      </c>
      <c r="B23" s="10" t="s">
        <v>25</v>
      </c>
      <c r="C23" s="10"/>
      <c r="D23" s="10"/>
    </row>
    <row r="24" spans="1:8" x14ac:dyDescent="0.35">
      <c r="A24" s="15" t="s">
        <v>26</v>
      </c>
      <c r="B24" s="9" t="s">
        <v>27</v>
      </c>
      <c r="C24" s="9"/>
      <c r="D24" s="9"/>
    </row>
  </sheetData>
  <mergeCells count="22">
    <mergeCell ref="B23:D23"/>
    <mergeCell ref="B24:D24"/>
    <mergeCell ref="A17:H17"/>
    <mergeCell ref="A18:H18"/>
    <mergeCell ref="A19:H19"/>
    <mergeCell ref="A20:H20"/>
    <mergeCell ref="B21:D21"/>
    <mergeCell ref="A12:H12"/>
    <mergeCell ref="A13:H13"/>
    <mergeCell ref="A14:H14"/>
    <mergeCell ref="A15:H15"/>
    <mergeCell ref="A16:H16"/>
    <mergeCell ref="A7:H7"/>
    <mergeCell ref="A8:H8"/>
    <mergeCell ref="A9:H9"/>
    <mergeCell ref="A10:H10"/>
    <mergeCell ref="A11:H11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Normal="100" workbookViewId="0">
      <pane xSplit="3" ySplit="1" topLeftCell="XEP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8.6328125" defaultRowHeight="14.5" x14ac:dyDescent="0.35"/>
  <cols>
    <col min="1" max="1" width="11" customWidth="1"/>
    <col min="2" max="3" width="12" customWidth="1"/>
    <col min="4" max="4" width="18" customWidth="1"/>
    <col min="5" max="5" width="22" customWidth="1"/>
    <col min="6" max="6" width="40" customWidth="1"/>
    <col min="7" max="7" width="20" customWidth="1"/>
    <col min="8" max="8" width="24" customWidth="1"/>
    <col min="9" max="9" width="32" customWidth="1"/>
    <col min="10" max="10" width="44" customWidth="1"/>
    <col min="11" max="11" width="20" customWidth="1"/>
    <col min="12" max="12" width="22" customWidth="1"/>
    <col min="13" max="13" width="9" customWidth="1"/>
    <col min="14" max="14" width="13" customWidth="1"/>
    <col min="15" max="15" width="22" customWidth="1"/>
    <col min="16" max="16" width="12" customWidth="1"/>
    <col min="17" max="17" width="9" customWidth="1"/>
    <col min="18" max="18" width="15" customWidth="1"/>
    <col min="19" max="19" width="10" customWidth="1"/>
    <col min="20" max="22" width="11" customWidth="1"/>
    <col min="23" max="23" width="9" customWidth="1"/>
    <col min="24" max="24" width="44" customWidth="1"/>
    <col min="25" max="25" width="30" customWidth="1"/>
    <col min="26" max="26" width="28" customWidth="1"/>
  </cols>
  <sheetData>
    <row r="1" spans="1:26" ht="31.5" customHeight="1" x14ac:dyDescent="0.35">
      <c r="A1" s="18" t="s">
        <v>28</v>
      </c>
      <c r="B1" s="18" t="s">
        <v>29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8" t="s">
        <v>39</v>
      </c>
      <c r="M1" s="18" t="s">
        <v>40</v>
      </c>
      <c r="N1" s="18" t="s">
        <v>41</v>
      </c>
      <c r="O1" s="18" t="s">
        <v>42</v>
      </c>
      <c r="P1" s="18" t="s">
        <v>43</v>
      </c>
      <c r="Q1" s="18" t="s">
        <v>44</v>
      </c>
      <c r="R1" s="18" t="s">
        <v>45</v>
      </c>
      <c r="S1" s="18" t="s">
        <v>46</v>
      </c>
      <c r="T1" s="18" t="s">
        <v>47</v>
      </c>
      <c r="U1" s="18" t="s">
        <v>48</v>
      </c>
      <c r="V1" s="18" t="s">
        <v>49</v>
      </c>
      <c r="W1" s="18" t="s">
        <v>50</v>
      </c>
      <c r="X1" s="18" t="s">
        <v>51</v>
      </c>
      <c r="Y1" s="18" t="s">
        <v>52</v>
      </c>
      <c r="Z1" s="18" t="s">
        <v>53</v>
      </c>
    </row>
    <row r="2" spans="1:26" x14ac:dyDescent="0.35">
      <c r="A2" s="19" t="str">
        <f t="shared" ref="A2:A65" si="0">IF($B2="","",Prefixo&amp;"-"&amp;TEXT(ROW()-1,"0000"))</f>
        <v/>
      </c>
      <c r="B2" s="46"/>
      <c r="C2" s="20"/>
      <c r="S2" s="21"/>
      <c r="T2" s="21"/>
      <c r="U2" s="21"/>
      <c r="V2" s="22"/>
      <c r="W2" s="23"/>
    </row>
    <row r="3" spans="1:26" x14ac:dyDescent="0.35">
      <c r="A3" s="19" t="str">
        <f t="shared" si="0"/>
        <v/>
      </c>
      <c r="B3" s="20"/>
      <c r="C3" s="20"/>
      <c r="S3" s="21"/>
      <c r="T3" s="21"/>
      <c r="U3" s="21"/>
      <c r="V3" s="22"/>
      <c r="W3" s="23"/>
    </row>
    <row r="4" spans="1:26" x14ac:dyDescent="0.35">
      <c r="A4" s="19" t="str">
        <f t="shared" si="0"/>
        <v/>
      </c>
      <c r="B4" s="20"/>
      <c r="C4" s="20"/>
      <c r="S4" s="21"/>
      <c r="T4" s="21"/>
      <c r="U4" s="21"/>
      <c r="V4" s="22"/>
      <c r="W4" s="23"/>
    </row>
    <row r="5" spans="1:26" x14ac:dyDescent="0.35">
      <c r="A5" s="19" t="str">
        <f t="shared" si="0"/>
        <v/>
      </c>
      <c r="B5" s="20"/>
      <c r="C5" s="20"/>
      <c r="S5" s="21"/>
      <c r="T5" s="21"/>
      <c r="U5" s="21"/>
      <c r="V5" s="22" t="str">
        <f t="shared" ref="V2:V65" si="1">IF($T5&gt;0,$T5-$U5,"")</f>
        <v/>
      </c>
      <c r="W5" s="23" t="str">
        <f t="shared" ref="W2:W65" si="2">IF($T5&gt;0,($T5-$U5)/$T5,"")</f>
        <v/>
      </c>
    </row>
    <row r="6" spans="1:26" x14ac:dyDescent="0.35">
      <c r="A6" s="19" t="str">
        <f t="shared" si="0"/>
        <v/>
      </c>
      <c r="B6" s="20"/>
      <c r="C6" s="20"/>
      <c r="S6" s="21"/>
      <c r="T6" s="21"/>
      <c r="U6" s="21"/>
      <c r="V6" s="22" t="str">
        <f t="shared" si="1"/>
        <v/>
      </c>
      <c r="W6" s="23" t="str">
        <f t="shared" si="2"/>
        <v/>
      </c>
    </row>
    <row r="7" spans="1:26" x14ac:dyDescent="0.35">
      <c r="A7" s="19" t="str">
        <f t="shared" si="0"/>
        <v/>
      </c>
      <c r="B7" s="20"/>
      <c r="C7" s="20"/>
      <c r="S7" s="21"/>
      <c r="T7" s="21"/>
      <c r="U7" s="21"/>
      <c r="V7" s="22" t="str">
        <f t="shared" si="1"/>
        <v/>
      </c>
      <c r="W7" s="23" t="str">
        <f t="shared" si="2"/>
        <v/>
      </c>
    </row>
    <row r="8" spans="1:26" x14ac:dyDescent="0.35">
      <c r="A8" s="19" t="str">
        <f t="shared" si="0"/>
        <v/>
      </c>
      <c r="B8" s="20"/>
      <c r="C8" s="20"/>
      <c r="S8" s="21"/>
      <c r="T8" s="21"/>
      <c r="U8" s="21"/>
      <c r="V8" s="22" t="str">
        <f t="shared" si="1"/>
        <v/>
      </c>
      <c r="W8" s="23" t="str">
        <f t="shared" si="2"/>
        <v/>
      </c>
    </row>
    <row r="9" spans="1:26" x14ac:dyDescent="0.35">
      <c r="A9" s="19" t="str">
        <f t="shared" si="0"/>
        <v/>
      </c>
      <c r="B9" s="20"/>
      <c r="C9" s="20"/>
      <c r="S9" s="21"/>
      <c r="T9" s="21"/>
      <c r="U9" s="21"/>
      <c r="V9" s="22" t="str">
        <f t="shared" si="1"/>
        <v/>
      </c>
      <c r="W9" s="23" t="str">
        <f t="shared" si="2"/>
        <v/>
      </c>
    </row>
    <row r="10" spans="1:26" x14ac:dyDescent="0.35">
      <c r="A10" s="19" t="str">
        <f t="shared" si="0"/>
        <v/>
      </c>
      <c r="B10" s="20"/>
      <c r="C10" s="20"/>
      <c r="S10" s="21"/>
      <c r="T10" s="21"/>
      <c r="U10" s="21"/>
      <c r="V10" s="22" t="str">
        <f t="shared" si="1"/>
        <v/>
      </c>
      <c r="W10" s="23" t="str">
        <f t="shared" si="2"/>
        <v/>
      </c>
    </row>
    <row r="11" spans="1:26" x14ac:dyDescent="0.35">
      <c r="A11" s="19" t="str">
        <f t="shared" si="0"/>
        <v/>
      </c>
      <c r="B11" s="20"/>
      <c r="C11" s="20"/>
      <c r="S11" s="21"/>
      <c r="T11" s="21"/>
      <c r="U11" s="21"/>
      <c r="V11" s="22" t="str">
        <f t="shared" si="1"/>
        <v/>
      </c>
      <c r="W11" s="23" t="str">
        <f t="shared" si="2"/>
        <v/>
      </c>
    </row>
    <row r="12" spans="1:26" x14ac:dyDescent="0.35">
      <c r="A12" s="19" t="str">
        <f t="shared" si="0"/>
        <v/>
      </c>
      <c r="B12" s="20"/>
      <c r="C12" s="20"/>
      <c r="S12" s="21"/>
      <c r="T12" s="21"/>
      <c r="U12" s="21"/>
      <c r="V12" s="22" t="str">
        <f t="shared" si="1"/>
        <v/>
      </c>
      <c r="W12" s="23" t="str">
        <f t="shared" si="2"/>
        <v/>
      </c>
    </row>
    <row r="13" spans="1:26" x14ac:dyDescent="0.35">
      <c r="A13" s="19" t="str">
        <f t="shared" si="0"/>
        <v/>
      </c>
      <c r="B13" s="20"/>
      <c r="C13" s="20"/>
      <c r="S13" s="21"/>
      <c r="T13" s="21"/>
      <c r="U13" s="21"/>
      <c r="V13" s="22" t="str">
        <f t="shared" si="1"/>
        <v/>
      </c>
      <c r="W13" s="23" t="str">
        <f t="shared" si="2"/>
        <v/>
      </c>
    </row>
    <row r="14" spans="1:26" x14ac:dyDescent="0.35">
      <c r="A14" s="19" t="str">
        <f t="shared" si="0"/>
        <v/>
      </c>
      <c r="B14" s="20"/>
      <c r="C14" s="20"/>
      <c r="S14" s="21"/>
      <c r="T14" s="21"/>
      <c r="U14" s="21"/>
      <c r="V14" s="22" t="str">
        <f t="shared" si="1"/>
        <v/>
      </c>
      <c r="W14" s="23" t="str">
        <f t="shared" si="2"/>
        <v/>
      </c>
    </row>
    <row r="15" spans="1:26" x14ac:dyDescent="0.35">
      <c r="A15" s="19" t="str">
        <f t="shared" si="0"/>
        <v/>
      </c>
      <c r="B15" s="20"/>
      <c r="C15" s="20"/>
      <c r="S15" s="21"/>
      <c r="T15" s="21"/>
      <c r="U15" s="21"/>
      <c r="V15" s="22" t="str">
        <f t="shared" si="1"/>
        <v/>
      </c>
      <c r="W15" s="23" t="str">
        <f t="shared" si="2"/>
        <v/>
      </c>
    </row>
    <row r="16" spans="1:26" x14ac:dyDescent="0.35">
      <c r="A16" s="19" t="str">
        <f t="shared" si="0"/>
        <v/>
      </c>
      <c r="B16" s="20"/>
      <c r="C16" s="20"/>
      <c r="S16" s="21"/>
      <c r="T16" s="21"/>
      <c r="U16" s="21"/>
      <c r="V16" s="22" t="str">
        <f t="shared" si="1"/>
        <v/>
      </c>
      <c r="W16" s="23" t="str">
        <f t="shared" si="2"/>
        <v/>
      </c>
    </row>
    <row r="17" spans="1:23" x14ac:dyDescent="0.35">
      <c r="A17" s="19" t="str">
        <f t="shared" si="0"/>
        <v/>
      </c>
      <c r="B17" s="20"/>
      <c r="C17" s="20"/>
      <c r="S17" s="21"/>
      <c r="T17" s="21"/>
      <c r="U17" s="21"/>
      <c r="V17" s="22" t="str">
        <f t="shared" si="1"/>
        <v/>
      </c>
      <c r="W17" s="23" t="str">
        <f t="shared" si="2"/>
        <v/>
      </c>
    </row>
    <row r="18" spans="1:23" x14ac:dyDescent="0.35">
      <c r="A18" s="19" t="str">
        <f t="shared" si="0"/>
        <v/>
      </c>
      <c r="B18" s="20"/>
      <c r="C18" s="20"/>
      <c r="S18" s="21"/>
      <c r="T18" s="21"/>
      <c r="U18" s="21"/>
      <c r="V18" s="22" t="str">
        <f t="shared" si="1"/>
        <v/>
      </c>
      <c r="W18" s="23" t="str">
        <f t="shared" si="2"/>
        <v/>
      </c>
    </row>
    <row r="19" spans="1:23" x14ac:dyDescent="0.35">
      <c r="A19" s="19" t="str">
        <f t="shared" si="0"/>
        <v/>
      </c>
      <c r="B19" s="20"/>
      <c r="C19" s="20"/>
      <c r="S19" s="21"/>
      <c r="T19" s="21"/>
      <c r="U19" s="21"/>
      <c r="V19" s="22" t="str">
        <f t="shared" si="1"/>
        <v/>
      </c>
      <c r="W19" s="23" t="str">
        <f t="shared" si="2"/>
        <v/>
      </c>
    </row>
    <row r="20" spans="1:23" x14ac:dyDescent="0.35">
      <c r="A20" s="19" t="str">
        <f t="shared" si="0"/>
        <v/>
      </c>
      <c r="B20" s="20"/>
      <c r="C20" s="20"/>
      <c r="S20" s="21"/>
      <c r="T20" s="21"/>
      <c r="U20" s="21"/>
      <c r="V20" s="22" t="str">
        <f t="shared" si="1"/>
        <v/>
      </c>
      <c r="W20" s="23" t="str">
        <f t="shared" si="2"/>
        <v/>
      </c>
    </row>
    <row r="21" spans="1:23" x14ac:dyDescent="0.35">
      <c r="A21" s="19" t="str">
        <f t="shared" si="0"/>
        <v/>
      </c>
      <c r="B21" s="20"/>
      <c r="C21" s="20"/>
      <c r="S21" s="21"/>
      <c r="T21" s="21"/>
      <c r="U21" s="21"/>
      <c r="V21" s="22" t="str">
        <f t="shared" si="1"/>
        <v/>
      </c>
      <c r="W21" s="23" t="str">
        <f t="shared" si="2"/>
        <v/>
      </c>
    </row>
    <row r="22" spans="1:23" x14ac:dyDescent="0.35">
      <c r="A22" s="19" t="str">
        <f t="shared" si="0"/>
        <v/>
      </c>
      <c r="B22" s="20"/>
      <c r="C22" s="20"/>
      <c r="S22" s="21"/>
      <c r="T22" s="21"/>
      <c r="U22" s="21"/>
      <c r="V22" s="22" t="str">
        <f t="shared" si="1"/>
        <v/>
      </c>
      <c r="W22" s="23" t="str">
        <f t="shared" si="2"/>
        <v/>
      </c>
    </row>
    <row r="23" spans="1:23" x14ac:dyDescent="0.35">
      <c r="A23" s="19" t="str">
        <f t="shared" si="0"/>
        <v/>
      </c>
      <c r="B23" s="20"/>
      <c r="C23" s="20"/>
      <c r="S23" s="21"/>
      <c r="T23" s="21"/>
      <c r="U23" s="21"/>
      <c r="V23" s="22" t="str">
        <f t="shared" si="1"/>
        <v/>
      </c>
      <c r="W23" s="23" t="str">
        <f t="shared" si="2"/>
        <v/>
      </c>
    </row>
    <row r="24" spans="1:23" x14ac:dyDescent="0.35">
      <c r="A24" s="19" t="str">
        <f t="shared" si="0"/>
        <v/>
      </c>
      <c r="B24" s="20"/>
      <c r="C24" s="20"/>
      <c r="S24" s="21"/>
      <c r="T24" s="21"/>
      <c r="U24" s="21"/>
      <c r="V24" s="22" t="str">
        <f t="shared" si="1"/>
        <v/>
      </c>
      <c r="W24" s="23" t="str">
        <f t="shared" si="2"/>
        <v/>
      </c>
    </row>
    <row r="25" spans="1:23" x14ac:dyDescent="0.35">
      <c r="A25" s="19" t="str">
        <f t="shared" si="0"/>
        <v/>
      </c>
      <c r="B25" s="20"/>
      <c r="C25" s="20"/>
      <c r="S25" s="21"/>
      <c r="T25" s="21"/>
      <c r="U25" s="21"/>
      <c r="V25" s="22" t="str">
        <f t="shared" si="1"/>
        <v/>
      </c>
      <c r="W25" s="23" t="str">
        <f t="shared" si="2"/>
        <v/>
      </c>
    </row>
    <row r="26" spans="1:23" x14ac:dyDescent="0.35">
      <c r="A26" s="19" t="str">
        <f t="shared" si="0"/>
        <v/>
      </c>
      <c r="B26" s="20"/>
      <c r="C26" s="20"/>
      <c r="S26" s="21"/>
      <c r="T26" s="21"/>
      <c r="U26" s="21"/>
      <c r="V26" s="22" t="str">
        <f t="shared" si="1"/>
        <v/>
      </c>
      <c r="W26" s="23" t="str">
        <f t="shared" si="2"/>
        <v/>
      </c>
    </row>
    <row r="27" spans="1:23" x14ac:dyDescent="0.35">
      <c r="A27" s="19" t="str">
        <f t="shared" si="0"/>
        <v/>
      </c>
      <c r="B27" s="20"/>
      <c r="C27" s="20"/>
      <c r="S27" s="21"/>
      <c r="T27" s="21"/>
      <c r="U27" s="21"/>
      <c r="V27" s="22" t="str">
        <f t="shared" si="1"/>
        <v/>
      </c>
      <c r="W27" s="23" t="str">
        <f t="shared" si="2"/>
        <v/>
      </c>
    </row>
    <row r="28" spans="1:23" x14ac:dyDescent="0.35">
      <c r="A28" s="19" t="str">
        <f t="shared" si="0"/>
        <v/>
      </c>
      <c r="B28" s="20"/>
      <c r="C28" s="20"/>
      <c r="S28" s="21"/>
      <c r="T28" s="21"/>
      <c r="U28" s="21"/>
      <c r="V28" s="22" t="str">
        <f t="shared" si="1"/>
        <v/>
      </c>
      <c r="W28" s="23" t="str">
        <f t="shared" si="2"/>
        <v/>
      </c>
    </row>
    <row r="29" spans="1:23" x14ac:dyDescent="0.35">
      <c r="A29" s="19" t="str">
        <f t="shared" si="0"/>
        <v/>
      </c>
      <c r="B29" s="20"/>
      <c r="C29" s="20"/>
      <c r="S29" s="21"/>
      <c r="T29" s="21"/>
      <c r="U29" s="21"/>
      <c r="V29" s="22" t="str">
        <f t="shared" si="1"/>
        <v/>
      </c>
      <c r="W29" s="23" t="str">
        <f t="shared" si="2"/>
        <v/>
      </c>
    </row>
    <row r="30" spans="1:23" x14ac:dyDescent="0.35">
      <c r="A30" s="19" t="str">
        <f t="shared" si="0"/>
        <v/>
      </c>
      <c r="B30" s="20"/>
      <c r="C30" s="20"/>
      <c r="S30" s="21"/>
      <c r="T30" s="21"/>
      <c r="U30" s="21"/>
      <c r="V30" s="22" t="str">
        <f t="shared" si="1"/>
        <v/>
      </c>
      <c r="W30" s="23" t="str">
        <f t="shared" si="2"/>
        <v/>
      </c>
    </row>
    <row r="31" spans="1:23" x14ac:dyDescent="0.35">
      <c r="A31" s="19" t="str">
        <f t="shared" si="0"/>
        <v/>
      </c>
      <c r="B31" s="20"/>
      <c r="C31" s="20"/>
      <c r="S31" s="21"/>
      <c r="T31" s="21"/>
      <c r="U31" s="21"/>
      <c r="V31" s="22" t="str">
        <f t="shared" si="1"/>
        <v/>
      </c>
      <c r="W31" s="23" t="str">
        <f t="shared" si="2"/>
        <v/>
      </c>
    </row>
    <row r="32" spans="1:23" x14ac:dyDescent="0.35">
      <c r="A32" s="19" t="str">
        <f t="shared" si="0"/>
        <v/>
      </c>
      <c r="B32" s="20"/>
      <c r="C32" s="20"/>
      <c r="S32" s="21"/>
      <c r="T32" s="21"/>
      <c r="U32" s="21"/>
      <c r="V32" s="22" t="str">
        <f t="shared" si="1"/>
        <v/>
      </c>
      <c r="W32" s="23" t="str">
        <f t="shared" si="2"/>
        <v/>
      </c>
    </row>
    <row r="33" spans="1:23" x14ac:dyDescent="0.35">
      <c r="A33" s="19" t="str">
        <f t="shared" si="0"/>
        <v/>
      </c>
      <c r="B33" s="20"/>
      <c r="C33" s="20"/>
      <c r="S33" s="21"/>
      <c r="T33" s="21"/>
      <c r="U33" s="21"/>
      <c r="V33" s="22" t="str">
        <f t="shared" si="1"/>
        <v/>
      </c>
      <c r="W33" s="23" t="str">
        <f t="shared" si="2"/>
        <v/>
      </c>
    </row>
    <row r="34" spans="1:23" x14ac:dyDescent="0.35">
      <c r="A34" s="19" t="str">
        <f t="shared" si="0"/>
        <v/>
      </c>
      <c r="B34" s="20"/>
      <c r="C34" s="20"/>
      <c r="S34" s="21"/>
      <c r="T34" s="21"/>
      <c r="U34" s="21"/>
      <c r="V34" s="22" t="str">
        <f t="shared" si="1"/>
        <v/>
      </c>
      <c r="W34" s="23" t="str">
        <f t="shared" si="2"/>
        <v/>
      </c>
    </row>
    <row r="35" spans="1:23" x14ac:dyDescent="0.35">
      <c r="A35" s="19" t="str">
        <f t="shared" si="0"/>
        <v/>
      </c>
      <c r="B35" s="20"/>
      <c r="C35" s="20"/>
      <c r="S35" s="21"/>
      <c r="T35" s="21"/>
      <c r="U35" s="21"/>
      <c r="V35" s="22" t="str">
        <f t="shared" si="1"/>
        <v/>
      </c>
      <c r="W35" s="23" t="str">
        <f t="shared" si="2"/>
        <v/>
      </c>
    </row>
    <row r="36" spans="1:23" x14ac:dyDescent="0.35">
      <c r="A36" s="19" t="str">
        <f t="shared" si="0"/>
        <v/>
      </c>
      <c r="B36" s="20"/>
      <c r="C36" s="20"/>
      <c r="S36" s="21"/>
      <c r="T36" s="21"/>
      <c r="U36" s="21"/>
      <c r="V36" s="22" t="str">
        <f t="shared" si="1"/>
        <v/>
      </c>
      <c r="W36" s="23" t="str">
        <f t="shared" si="2"/>
        <v/>
      </c>
    </row>
    <row r="37" spans="1:23" x14ac:dyDescent="0.35">
      <c r="A37" s="19" t="str">
        <f t="shared" si="0"/>
        <v/>
      </c>
      <c r="B37" s="20"/>
      <c r="C37" s="20"/>
      <c r="S37" s="21"/>
      <c r="T37" s="21"/>
      <c r="U37" s="21"/>
      <c r="V37" s="22" t="str">
        <f t="shared" si="1"/>
        <v/>
      </c>
      <c r="W37" s="23" t="str">
        <f t="shared" si="2"/>
        <v/>
      </c>
    </row>
    <row r="38" spans="1:23" x14ac:dyDescent="0.35">
      <c r="A38" s="19" t="str">
        <f t="shared" si="0"/>
        <v/>
      </c>
      <c r="B38" s="20"/>
      <c r="C38" s="20"/>
      <c r="S38" s="21"/>
      <c r="T38" s="21"/>
      <c r="U38" s="21"/>
      <c r="V38" s="22" t="str">
        <f t="shared" si="1"/>
        <v/>
      </c>
      <c r="W38" s="23" t="str">
        <f t="shared" si="2"/>
        <v/>
      </c>
    </row>
    <row r="39" spans="1:23" x14ac:dyDescent="0.35">
      <c r="A39" s="19" t="str">
        <f t="shared" si="0"/>
        <v/>
      </c>
      <c r="B39" s="20"/>
      <c r="C39" s="20"/>
      <c r="S39" s="21"/>
      <c r="T39" s="21"/>
      <c r="U39" s="21"/>
      <c r="V39" s="22" t="str">
        <f t="shared" si="1"/>
        <v/>
      </c>
      <c r="W39" s="23" t="str">
        <f t="shared" si="2"/>
        <v/>
      </c>
    </row>
    <row r="40" spans="1:23" x14ac:dyDescent="0.35">
      <c r="A40" s="19" t="str">
        <f t="shared" si="0"/>
        <v/>
      </c>
      <c r="B40" s="20"/>
      <c r="C40" s="20"/>
      <c r="S40" s="21"/>
      <c r="T40" s="21"/>
      <c r="U40" s="21"/>
      <c r="V40" s="22" t="str">
        <f t="shared" si="1"/>
        <v/>
      </c>
      <c r="W40" s="23" t="str">
        <f t="shared" si="2"/>
        <v/>
      </c>
    </row>
    <row r="41" spans="1:23" x14ac:dyDescent="0.35">
      <c r="A41" s="19" t="str">
        <f t="shared" si="0"/>
        <v/>
      </c>
      <c r="B41" s="20"/>
      <c r="C41" s="20"/>
      <c r="S41" s="21"/>
      <c r="T41" s="21"/>
      <c r="U41" s="21"/>
      <c r="V41" s="22" t="str">
        <f t="shared" si="1"/>
        <v/>
      </c>
      <c r="W41" s="23" t="str">
        <f t="shared" si="2"/>
        <v/>
      </c>
    </row>
    <row r="42" spans="1:23" x14ac:dyDescent="0.35">
      <c r="A42" s="19" t="str">
        <f t="shared" si="0"/>
        <v/>
      </c>
      <c r="B42" s="20"/>
      <c r="C42" s="20"/>
      <c r="S42" s="21"/>
      <c r="T42" s="21"/>
      <c r="U42" s="21"/>
      <c r="V42" s="22" t="str">
        <f t="shared" si="1"/>
        <v/>
      </c>
      <c r="W42" s="23" t="str">
        <f t="shared" si="2"/>
        <v/>
      </c>
    </row>
    <row r="43" spans="1:23" x14ac:dyDescent="0.35">
      <c r="A43" s="19" t="str">
        <f t="shared" si="0"/>
        <v/>
      </c>
      <c r="B43" s="20"/>
      <c r="C43" s="20"/>
      <c r="S43" s="21"/>
      <c r="T43" s="21"/>
      <c r="U43" s="21"/>
      <c r="V43" s="22" t="str">
        <f t="shared" si="1"/>
        <v/>
      </c>
      <c r="W43" s="23" t="str">
        <f t="shared" si="2"/>
        <v/>
      </c>
    </row>
    <row r="44" spans="1:23" x14ac:dyDescent="0.35">
      <c r="A44" s="19" t="str">
        <f t="shared" si="0"/>
        <v/>
      </c>
      <c r="B44" s="20"/>
      <c r="C44" s="20"/>
      <c r="S44" s="21"/>
      <c r="T44" s="21"/>
      <c r="U44" s="21"/>
      <c r="V44" s="22" t="str">
        <f t="shared" si="1"/>
        <v/>
      </c>
      <c r="W44" s="23" t="str">
        <f t="shared" si="2"/>
        <v/>
      </c>
    </row>
    <row r="45" spans="1:23" x14ac:dyDescent="0.35">
      <c r="A45" s="19" t="str">
        <f t="shared" si="0"/>
        <v/>
      </c>
      <c r="B45" s="20"/>
      <c r="C45" s="20"/>
      <c r="S45" s="21"/>
      <c r="T45" s="21"/>
      <c r="U45" s="21"/>
      <c r="V45" s="22" t="str">
        <f t="shared" si="1"/>
        <v/>
      </c>
      <c r="W45" s="23" t="str">
        <f t="shared" si="2"/>
        <v/>
      </c>
    </row>
    <row r="46" spans="1:23" x14ac:dyDescent="0.35">
      <c r="A46" s="19" t="str">
        <f t="shared" si="0"/>
        <v/>
      </c>
      <c r="B46" s="20"/>
      <c r="C46" s="20"/>
      <c r="S46" s="21"/>
      <c r="T46" s="21"/>
      <c r="U46" s="21"/>
      <c r="V46" s="22" t="str">
        <f t="shared" si="1"/>
        <v/>
      </c>
      <c r="W46" s="23" t="str">
        <f t="shared" si="2"/>
        <v/>
      </c>
    </row>
    <row r="47" spans="1:23" x14ac:dyDescent="0.35">
      <c r="A47" s="19" t="str">
        <f t="shared" si="0"/>
        <v/>
      </c>
      <c r="B47" s="20"/>
      <c r="C47" s="20"/>
      <c r="S47" s="21"/>
      <c r="T47" s="21"/>
      <c r="U47" s="21"/>
      <c r="V47" s="22" t="str">
        <f t="shared" si="1"/>
        <v/>
      </c>
      <c r="W47" s="23" t="str">
        <f t="shared" si="2"/>
        <v/>
      </c>
    </row>
    <row r="48" spans="1:23" x14ac:dyDescent="0.35">
      <c r="A48" s="19" t="str">
        <f t="shared" si="0"/>
        <v/>
      </c>
      <c r="B48" s="20"/>
      <c r="C48" s="20"/>
      <c r="S48" s="21"/>
      <c r="T48" s="21"/>
      <c r="U48" s="21"/>
      <c r="V48" s="22" t="str">
        <f t="shared" si="1"/>
        <v/>
      </c>
      <c r="W48" s="23" t="str">
        <f t="shared" si="2"/>
        <v/>
      </c>
    </row>
    <row r="49" spans="1:23" x14ac:dyDescent="0.35">
      <c r="A49" s="19" t="str">
        <f t="shared" si="0"/>
        <v/>
      </c>
      <c r="B49" s="20"/>
      <c r="C49" s="20"/>
      <c r="S49" s="21"/>
      <c r="T49" s="21"/>
      <c r="U49" s="21"/>
      <c r="V49" s="22" t="str">
        <f t="shared" si="1"/>
        <v/>
      </c>
      <c r="W49" s="23" t="str">
        <f t="shared" si="2"/>
        <v/>
      </c>
    </row>
    <row r="50" spans="1:23" x14ac:dyDescent="0.35">
      <c r="A50" s="19" t="str">
        <f t="shared" si="0"/>
        <v/>
      </c>
      <c r="B50" s="20"/>
      <c r="C50" s="20"/>
      <c r="S50" s="21"/>
      <c r="T50" s="21"/>
      <c r="U50" s="21"/>
      <c r="V50" s="22" t="str">
        <f t="shared" si="1"/>
        <v/>
      </c>
      <c r="W50" s="23" t="str">
        <f t="shared" si="2"/>
        <v/>
      </c>
    </row>
    <row r="51" spans="1:23" x14ac:dyDescent="0.35">
      <c r="A51" s="19" t="str">
        <f t="shared" si="0"/>
        <v/>
      </c>
      <c r="B51" s="20"/>
      <c r="C51" s="20"/>
      <c r="S51" s="21"/>
      <c r="T51" s="21"/>
      <c r="U51" s="21"/>
      <c r="V51" s="22" t="str">
        <f t="shared" si="1"/>
        <v/>
      </c>
      <c r="W51" s="23" t="str">
        <f t="shared" si="2"/>
        <v/>
      </c>
    </row>
    <row r="52" spans="1:23" x14ac:dyDescent="0.35">
      <c r="A52" s="19" t="str">
        <f t="shared" si="0"/>
        <v/>
      </c>
      <c r="B52" s="20"/>
      <c r="C52" s="20"/>
      <c r="S52" s="21"/>
      <c r="T52" s="21"/>
      <c r="U52" s="21"/>
      <c r="V52" s="22" t="str">
        <f t="shared" si="1"/>
        <v/>
      </c>
      <c r="W52" s="23" t="str">
        <f t="shared" si="2"/>
        <v/>
      </c>
    </row>
    <row r="53" spans="1:23" x14ac:dyDescent="0.35">
      <c r="A53" s="19" t="str">
        <f t="shared" si="0"/>
        <v/>
      </c>
      <c r="B53" s="20"/>
      <c r="C53" s="20"/>
      <c r="S53" s="21"/>
      <c r="T53" s="21"/>
      <c r="U53" s="21"/>
      <c r="V53" s="22" t="str">
        <f t="shared" si="1"/>
        <v/>
      </c>
      <c r="W53" s="23" t="str">
        <f t="shared" si="2"/>
        <v/>
      </c>
    </row>
    <row r="54" spans="1:23" x14ac:dyDescent="0.35">
      <c r="A54" s="19" t="str">
        <f t="shared" si="0"/>
        <v/>
      </c>
      <c r="B54" s="20"/>
      <c r="C54" s="20"/>
      <c r="S54" s="21"/>
      <c r="T54" s="21"/>
      <c r="U54" s="21"/>
      <c r="V54" s="22" t="str">
        <f t="shared" si="1"/>
        <v/>
      </c>
      <c r="W54" s="23" t="str">
        <f t="shared" si="2"/>
        <v/>
      </c>
    </row>
    <row r="55" spans="1:23" x14ac:dyDescent="0.35">
      <c r="A55" s="19" t="str">
        <f t="shared" si="0"/>
        <v/>
      </c>
      <c r="B55" s="20"/>
      <c r="C55" s="20"/>
      <c r="S55" s="21"/>
      <c r="T55" s="21"/>
      <c r="U55" s="21"/>
      <c r="V55" s="22" t="str">
        <f t="shared" si="1"/>
        <v/>
      </c>
      <c r="W55" s="23" t="str">
        <f t="shared" si="2"/>
        <v/>
      </c>
    </row>
    <row r="56" spans="1:23" x14ac:dyDescent="0.35">
      <c r="A56" s="19" t="str">
        <f t="shared" si="0"/>
        <v/>
      </c>
      <c r="B56" s="20"/>
      <c r="C56" s="20"/>
      <c r="S56" s="21"/>
      <c r="T56" s="21"/>
      <c r="U56" s="21"/>
      <c r="V56" s="22" t="str">
        <f t="shared" si="1"/>
        <v/>
      </c>
      <c r="W56" s="23" t="str">
        <f t="shared" si="2"/>
        <v/>
      </c>
    </row>
    <row r="57" spans="1:23" x14ac:dyDescent="0.35">
      <c r="A57" s="19" t="str">
        <f t="shared" si="0"/>
        <v/>
      </c>
      <c r="B57" s="20"/>
      <c r="C57" s="20"/>
      <c r="S57" s="21"/>
      <c r="T57" s="21"/>
      <c r="U57" s="21"/>
      <c r="V57" s="22" t="str">
        <f t="shared" si="1"/>
        <v/>
      </c>
      <c r="W57" s="23" t="str">
        <f t="shared" si="2"/>
        <v/>
      </c>
    </row>
    <row r="58" spans="1:23" x14ac:dyDescent="0.35">
      <c r="A58" s="19" t="str">
        <f t="shared" si="0"/>
        <v/>
      </c>
      <c r="B58" s="20"/>
      <c r="C58" s="20"/>
      <c r="S58" s="21"/>
      <c r="T58" s="21"/>
      <c r="U58" s="21"/>
      <c r="V58" s="22" t="str">
        <f t="shared" si="1"/>
        <v/>
      </c>
      <c r="W58" s="23" t="str">
        <f t="shared" si="2"/>
        <v/>
      </c>
    </row>
    <row r="59" spans="1:23" x14ac:dyDescent="0.35">
      <c r="A59" s="19" t="str">
        <f t="shared" si="0"/>
        <v/>
      </c>
      <c r="B59" s="20"/>
      <c r="C59" s="20"/>
      <c r="S59" s="21"/>
      <c r="T59" s="21"/>
      <c r="U59" s="21"/>
      <c r="V59" s="22" t="str">
        <f t="shared" si="1"/>
        <v/>
      </c>
      <c r="W59" s="23" t="str">
        <f t="shared" si="2"/>
        <v/>
      </c>
    </row>
    <row r="60" spans="1:23" x14ac:dyDescent="0.35">
      <c r="A60" s="19" t="str">
        <f t="shared" si="0"/>
        <v/>
      </c>
      <c r="B60" s="20"/>
      <c r="C60" s="20"/>
      <c r="S60" s="21"/>
      <c r="T60" s="21"/>
      <c r="U60" s="21"/>
      <c r="V60" s="22" t="str">
        <f t="shared" si="1"/>
        <v/>
      </c>
      <c r="W60" s="23" t="str">
        <f t="shared" si="2"/>
        <v/>
      </c>
    </row>
    <row r="61" spans="1:23" x14ac:dyDescent="0.35">
      <c r="A61" s="19" t="str">
        <f t="shared" si="0"/>
        <v/>
      </c>
      <c r="B61" s="20"/>
      <c r="C61" s="20"/>
      <c r="S61" s="21"/>
      <c r="T61" s="21"/>
      <c r="U61" s="21"/>
      <c r="V61" s="22" t="str">
        <f t="shared" si="1"/>
        <v/>
      </c>
      <c r="W61" s="23" t="str">
        <f t="shared" si="2"/>
        <v/>
      </c>
    </row>
    <row r="62" spans="1:23" x14ac:dyDescent="0.35">
      <c r="A62" s="19" t="str">
        <f t="shared" si="0"/>
        <v/>
      </c>
      <c r="B62" s="20"/>
      <c r="C62" s="20"/>
      <c r="S62" s="21"/>
      <c r="T62" s="21"/>
      <c r="U62" s="21"/>
      <c r="V62" s="22" t="str">
        <f t="shared" si="1"/>
        <v/>
      </c>
      <c r="W62" s="23" t="str">
        <f t="shared" si="2"/>
        <v/>
      </c>
    </row>
    <row r="63" spans="1:23" x14ac:dyDescent="0.35">
      <c r="A63" s="19" t="str">
        <f t="shared" si="0"/>
        <v/>
      </c>
      <c r="B63" s="20"/>
      <c r="C63" s="20"/>
      <c r="S63" s="21"/>
      <c r="T63" s="21"/>
      <c r="U63" s="21"/>
      <c r="V63" s="22" t="str">
        <f t="shared" si="1"/>
        <v/>
      </c>
      <c r="W63" s="23" t="str">
        <f t="shared" si="2"/>
        <v/>
      </c>
    </row>
    <row r="64" spans="1:23" x14ac:dyDescent="0.35">
      <c r="A64" s="19" t="str">
        <f t="shared" si="0"/>
        <v/>
      </c>
      <c r="B64" s="20"/>
      <c r="C64" s="20"/>
      <c r="S64" s="21"/>
      <c r="T64" s="21"/>
      <c r="U64" s="21"/>
      <c r="V64" s="22" t="str">
        <f t="shared" si="1"/>
        <v/>
      </c>
      <c r="W64" s="23" t="str">
        <f t="shared" si="2"/>
        <v/>
      </c>
    </row>
    <row r="65" spans="1:23" x14ac:dyDescent="0.35">
      <c r="A65" s="19" t="str">
        <f t="shared" si="0"/>
        <v/>
      </c>
      <c r="B65" s="20"/>
      <c r="C65" s="20"/>
      <c r="S65" s="21"/>
      <c r="T65" s="21"/>
      <c r="U65" s="21"/>
      <c r="V65" s="22" t="str">
        <f t="shared" si="1"/>
        <v/>
      </c>
      <c r="W65" s="23" t="str">
        <f t="shared" si="2"/>
        <v/>
      </c>
    </row>
    <row r="66" spans="1:23" x14ac:dyDescent="0.35">
      <c r="A66" s="19" t="str">
        <f t="shared" ref="A66:A129" si="3">IF($B66="","",Prefixo&amp;"-"&amp;TEXT(ROW()-1,"0000"))</f>
        <v/>
      </c>
      <c r="B66" s="20"/>
      <c r="C66" s="20"/>
      <c r="S66" s="21"/>
      <c r="T66" s="21"/>
      <c r="U66" s="21"/>
      <c r="V66" s="22" t="str">
        <f t="shared" ref="V66:V129" si="4">IF($T66&gt;0,$T66-$U66,"")</f>
        <v/>
      </c>
      <c r="W66" s="23" t="str">
        <f t="shared" ref="W66:W129" si="5">IF($T66&gt;0,($T66-$U66)/$T66,"")</f>
        <v/>
      </c>
    </row>
    <row r="67" spans="1:23" x14ac:dyDescent="0.35">
      <c r="A67" s="19" t="str">
        <f t="shared" si="3"/>
        <v/>
      </c>
      <c r="B67" s="20"/>
      <c r="C67" s="20"/>
      <c r="S67" s="21"/>
      <c r="T67" s="21"/>
      <c r="U67" s="21"/>
      <c r="V67" s="22" t="str">
        <f t="shared" si="4"/>
        <v/>
      </c>
      <c r="W67" s="23" t="str">
        <f t="shared" si="5"/>
        <v/>
      </c>
    </row>
    <row r="68" spans="1:23" x14ac:dyDescent="0.35">
      <c r="A68" s="19" t="str">
        <f t="shared" si="3"/>
        <v/>
      </c>
      <c r="B68" s="20"/>
      <c r="C68" s="20"/>
      <c r="S68" s="21"/>
      <c r="T68" s="21"/>
      <c r="U68" s="21"/>
      <c r="V68" s="22" t="str">
        <f t="shared" si="4"/>
        <v/>
      </c>
      <c r="W68" s="23" t="str">
        <f t="shared" si="5"/>
        <v/>
      </c>
    </row>
    <row r="69" spans="1:23" x14ac:dyDescent="0.35">
      <c r="A69" s="19" t="str">
        <f t="shared" si="3"/>
        <v/>
      </c>
      <c r="B69" s="20"/>
      <c r="C69" s="20"/>
      <c r="S69" s="21"/>
      <c r="T69" s="21"/>
      <c r="U69" s="21"/>
      <c r="V69" s="22" t="str">
        <f t="shared" si="4"/>
        <v/>
      </c>
      <c r="W69" s="23" t="str">
        <f t="shared" si="5"/>
        <v/>
      </c>
    </row>
    <row r="70" spans="1:23" x14ac:dyDescent="0.35">
      <c r="A70" s="19" t="str">
        <f t="shared" si="3"/>
        <v/>
      </c>
      <c r="B70" s="20"/>
      <c r="C70" s="20"/>
      <c r="S70" s="21"/>
      <c r="T70" s="21"/>
      <c r="U70" s="21"/>
      <c r="V70" s="22" t="str">
        <f t="shared" si="4"/>
        <v/>
      </c>
      <c r="W70" s="23" t="str">
        <f t="shared" si="5"/>
        <v/>
      </c>
    </row>
    <row r="71" spans="1:23" x14ac:dyDescent="0.35">
      <c r="A71" s="19" t="str">
        <f t="shared" si="3"/>
        <v/>
      </c>
      <c r="B71" s="20"/>
      <c r="C71" s="20"/>
      <c r="S71" s="21"/>
      <c r="T71" s="21"/>
      <c r="U71" s="21"/>
      <c r="V71" s="22" t="str">
        <f t="shared" si="4"/>
        <v/>
      </c>
      <c r="W71" s="23" t="str">
        <f t="shared" si="5"/>
        <v/>
      </c>
    </row>
    <row r="72" spans="1:23" x14ac:dyDescent="0.35">
      <c r="A72" s="19" t="str">
        <f t="shared" si="3"/>
        <v/>
      </c>
      <c r="B72" s="20"/>
      <c r="C72" s="20"/>
      <c r="S72" s="21"/>
      <c r="T72" s="21"/>
      <c r="U72" s="21"/>
      <c r="V72" s="22" t="str">
        <f t="shared" si="4"/>
        <v/>
      </c>
      <c r="W72" s="23" t="str">
        <f t="shared" si="5"/>
        <v/>
      </c>
    </row>
    <row r="73" spans="1:23" x14ac:dyDescent="0.35">
      <c r="A73" s="19" t="str">
        <f t="shared" si="3"/>
        <v/>
      </c>
      <c r="B73" s="20"/>
      <c r="C73" s="20"/>
      <c r="S73" s="21"/>
      <c r="T73" s="21"/>
      <c r="U73" s="21"/>
      <c r="V73" s="22" t="str">
        <f t="shared" si="4"/>
        <v/>
      </c>
      <c r="W73" s="23" t="str">
        <f t="shared" si="5"/>
        <v/>
      </c>
    </row>
    <row r="74" spans="1:23" x14ac:dyDescent="0.35">
      <c r="A74" s="19" t="str">
        <f t="shared" si="3"/>
        <v/>
      </c>
      <c r="B74" s="20"/>
      <c r="C74" s="20"/>
      <c r="S74" s="21"/>
      <c r="T74" s="21"/>
      <c r="U74" s="21"/>
      <c r="V74" s="22" t="str">
        <f t="shared" si="4"/>
        <v/>
      </c>
      <c r="W74" s="23" t="str">
        <f t="shared" si="5"/>
        <v/>
      </c>
    </row>
    <row r="75" spans="1:23" x14ac:dyDescent="0.35">
      <c r="A75" s="19" t="str">
        <f t="shared" si="3"/>
        <v/>
      </c>
      <c r="B75" s="20"/>
      <c r="C75" s="20"/>
      <c r="S75" s="21"/>
      <c r="T75" s="21"/>
      <c r="U75" s="21"/>
      <c r="V75" s="22" t="str">
        <f t="shared" si="4"/>
        <v/>
      </c>
      <c r="W75" s="23" t="str">
        <f t="shared" si="5"/>
        <v/>
      </c>
    </row>
    <row r="76" spans="1:23" x14ac:dyDescent="0.35">
      <c r="A76" s="19" t="str">
        <f t="shared" si="3"/>
        <v/>
      </c>
      <c r="B76" s="20"/>
      <c r="C76" s="20"/>
      <c r="S76" s="21"/>
      <c r="T76" s="21"/>
      <c r="U76" s="21"/>
      <c r="V76" s="22" t="str">
        <f t="shared" si="4"/>
        <v/>
      </c>
      <c r="W76" s="23" t="str">
        <f t="shared" si="5"/>
        <v/>
      </c>
    </row>
    <row r="77" spans="1:23" x14ac:dyDescent="0.35">
      <c r="A77" s="19" t="str">
        <f t="shared" si="3"/>
        <v/>
      </c>
      <c r="B77" s="20"/>
      <c r="C77" s="20"/>
      <c r="S77" s="21"/>
      <c r="T77" s="21"/>
      <c r="U77" s="21"/>
      <c r="V77" s="22" t="str">
        <f t="shared" si="4"/>
        <v/>
      </c>
      <c r="W77" s="23" t="str">
        <f t="shared" si="5"/>
        <v/>
      </c>
    </row>
    <row r="78" spans="1:23" x14ac:dyDescent="0.35">
      <c r="A78" s="19" t="str">
        <f t="shared" si="3"/>
        <v/>
      </c>
      <c r="B78" s="20"/>
      <c r="C78" s="20"/>
      <c r="S78" s="21"/>
      <c r="T78" s="21"/>
      <c r="U78" s="21"/>
      <c r="V78" s="22" t="str">
        <f t="shared" si="4"/>
        <v/>
      </c>
      <c r="W78" s="23" t="str">
        <f t="shared" si="5"/>
        <v/>
      </c>
    </row>
    <row r="79" spans="1:23" x14ac:dyDescent="0.35">
      <c r="A79" s="19" t="str">
        <f t="shared" si="3"/>
        <v/>
      </c>
      <c r="B79" s="20"/>
      <c r="C79" s="20"/>
      <c r="S79" s="21"/>
      <c r="T79" s="21"/>
      <c r="U79" s="21"/>
      <c r="V79" s="22" t="str">
        <f t="shared" si="4"/>
        <v/>
      </c>
      <c r="W79" s="23" t="str">
        <f t="shared" si="5"/>
        <v/>
      </c>
    </row>
    <row r="80" spans="1:23" x14ac:dyDescent="0.35">
      <c r="A80" s="19" t="str">
        <f t="shared" si="3"/>
        <v/>
      </c>
      <c r="B80" s="20"/>
      <c r="C80" s="20"/>
      <c r="S80" s="21"/>
      <c r="T80" s="21"/>
      <c r="U80" s="21"/>
      <c r="V80" s="22" t="str">
        <f t="shared" si="4"/>
        <v/>
      </c>
      <c r="W80" s="23" t="str">
        <f t="shared" si="5"/>
        <v/>
      </c>
    </row>
    <row r="81" spans="1:23" x14ac:dyDescent="0.35">
      <c r="A81" s="19" t="str">
        <f t="shared" si="3"/>
        <v/>
      </c>
      <c r="B81" s="20"/>
      <c r="C81" s="20"/>
      <c r="S81" s="21"/>
      <c r="T81" s="21"/>
      <c r="U81" s="21"/>
      <c r="V81" s="22" t="str">
        <f t="shared" si="4"/>
        <v/>
      </c>
      <c r="W81" s="23" t="str">
        <f t="shared" si="5"/>
        <v/>
      </c>
    </row>
    <row r="82" spans="1:23" x14ac:dyDescent="0.35">
      <c r="A82" s="19" t="str">
        <f t="shared" si="3"/>
        <v/>
      </c>
      <c r="B82" s="20"/>
      <c r="C82" s="20"/>
      <c r="S82" s="21"/>
      <c r="T82" s="21"/>
      <c r="U82" s="21"/>
      <c r="V82" s="22" t="str">
        <f t="shared" si="4"/>
        <v/>
      </c>
      <c r="W82" s="23" t="str">
        <f t="shared" si="5"/>
        <v/>
      </c>
    </row>
    <row r="83" spans="1:23" x14ac:dyDescent="0.35">
      <c r="A83" s="19" t="str">
        <f t="shared" si="3"/>
        <v/>
      </c>
      <c r="B83" s="20"/>
      <c r="C83" s="20"/>
      <c r="S83" s="21"/>
      <c r="T83" s="21"/>
      <c r="U83" s="21"/>
      <c r="V83" s="22" t="str">
        <f t="shared" si="4"/>
        <v/>
      </c>
      <c r="W83" s="23" t="str">
        <f t="shared" si="5"/>
        <v/>
      </c>
    </row>
    <row r="84" spans="1:23" x14ac:dyDescent="0.35">
      <c r="A84" s="19" t="str">
        <f t="shared" si="3"/>
        <v/>
      </c>
      <c r="B84" s="20"/>
      <c r="C84" s="20"/>
      <c r="S84" s="21"/>
      <c r="T84" s="21"/>
      <c r="U84" s="21"/>
      <c r="V84" s="22" t="str">
        <f t="shared" si="4"/>
        <v/>
      </c>
      <c r="W84" s="23" t="str">
        <f t="shared" si="5"/>
        <v/>
      </c>
    </row>
    <row r="85" spans="1:23" x14ac:dyDescent="0.35">
      <c r="A85" s="19" t="str">
        <f t="shared" si="3"/>
        <v/>
      </c>
      <c r="B85" s="20"/>
      <c r="C85" s="20"/>
      <c r="S85" s="21"/>
      <c r="T85" s="21"/>
      <c r="U85" s="21"/>
      <c r="V85" s="22" t="str">
        <f t="shared" si="4"/>
        <v/>
      </c>
      <c r="W85" s="23" t="str">
        <f t="shared" si="5"/>
        <v/>
      </c>
    </row>
    <row r="86" spans="1:23" x14ac:dyDescent="0.35">
      <c r="A86" s="19" t="str">
        <f t="shared" si="3"/>
        <v/>
      </c>
      <c r="B86" s="20"/>
      <c r="C86" s="20"/>
      <c r="S86" s="21"/>
      <c r="T86" s="21"/>
      <c r="U86" s="21"/>
      <c r="V86" s="22" t="str">
        <f t="shared" si="4"/>
        <v/>
      </c>
      <c r="W86" s="23" t="str">
        <f t="shared" si="5"/>
        <v/>
      </c>
    </row>
    <row r="87" spans="1:23" x14ac:dyDescent="0.35">
      <c r="A87" s="19" t="str">
        <f t="shared" si="3"/>
        <v/>
      </c>
      <c r="B87" s="20"/>
      <c r="C87" s="20"/>
      <c r="S87" s="21"/>
      <c r="T87" s="21"/>
      <c r="U87" s="21"/>
      <c r="V87" s="22" t="str">
        <f t="shared" si="4"/>
        <v/>
      </c>
      <c r="W87" s="23" t="str">
        <f t="shared" si="5"/>
        <v/>
      </c>
    </row>
    <row r="88" spans="1:23" x14ac:dyDescent="0.35">
      <c r="A88" s="19" t="str">
        <f t="shared" si="3"/>
        <v/>
      </c>
      <c r="B88" s="20"/>
      <c r="C88" s="20"/>
      <c r="S88" s="21"/>
      <c r="T88" s="21"/>
      <c r="U88" s="21"/>
      <c r="V88" s="22" t="str">
        <f t="shared" si="4"/>
        <v/>
      </c>
      <c r="W88" s="23" t="str">
        <f t="shared" si="5"/>
        <v/>
      </c>
    </row>
    <row r="89" spans="1:23" x14ac:dyDescent="0.35">
      <c r="A89" s="19" t="str">
        <f t="shared" si="3"/>
        <v/>
      </c>
      <c r="B89" s="20"/>
      <c r="C89" s="20"/>
      <c r="S89" s="21"/>
      <c r="T89" s="21"/>
      <c r="U89" s="21"/>
      <c r="V89" s="22" t="str">
        <f t="shared" si="4"/>
        <v/>
      </c>
      <c r="W89" s="23" t="str">
        <f t="shared" si="5"/>
        <v/>
      </c>
    </row>
    <row r="90" spans="1:23" x14ac:dyDescent="0.35">
      <c r="A90" s="19" t="str">
        <f t="shared" si="3"/>
        <v/>
      </c>
      <c r="B90" s="20"/>
      <c r="C90" s="20"/>
      <c r="S90" s="21"/>
      <c r="T90" s="21"/>
      <c r="U90" s="21"/>
      <c r="V90" s="22" t="str">
        <f t="shared" si="4"/>
        <v/>
      </c>
      <c r="W90" s="23" t="str">
        <f t="shared" si="5"/>
        <v/>
      </c>
    </row>
    <row r="91" spans="1:23" x14ac:dyDescent="0.35">
      <c r="A91" s="19" t="str">
        <f t="shared" si="3"/>
        <v/>
      </c>
      <c r="B91" s="20"/>
      <c r="C91" s="20"/>
      <c r="S91" s="21"/>
      <c r="T91" s="21"/>
      <c r="U91" s="21"/>
      <c r="V91" s="22" t="str">
        <f t="shared" si="4"/>
        <v/>
      </c>
      <c r="W91" s="23" t="str">
        <f t="shared" si="5"/>
        <v/>
      </c>
    </row>
    <row r="92" spans="1:23" x14ac:dyDescent="0.35">
      <c r="A92" s="19" t="str">
        <f t="shared" si="3"/>
        <v/>
      </c>
      <c r="B92" s="20"/>
      <c r="C92" s="20"/>
      <c r="S92" s="21"/>
      <c r="T92" s="21"/>
      <c r="U92" s="21"/>
      <c r="V92" s="22" t="str">
        <f t="shared" si="4"/>
        <v/>
      </c>
      <c r="W92" s="23" t="str">
        <f t="shared" si="5"/>
        <v/>
      </c>
    </row>
    <row r="93" spans="1:23" x14ac:dyDescent="0.35">
      <c r="A93" s="19" t="str">
        <f t="shared" si="3"/>
        <v/>
      </c>
      <c r="B93" s="20"/>
      <c r="C93" s="20"/>
      <c r="S93" s="21"/>
      <c r="T93" s="21"/>
      <c r="U93" s="21"/>
      <c r="V93" s="22" t="str">
        <f t="shared" si="4"/>
        <v/>
      </c>
      <c r="W93" s="23" t="str">
        <f t="shared" si="5"/>
        <v/>
      </c>
    </row>
    <row r="94" spans="1:23" x14ac:dyDescent="0.35">
      <c r="A94" s="19" t="str">
        <f t="shared" si="3"/>
        <v/>
      </c>
      <c r="B94" s="20"/>
      <c r="C94" s="20"/>
      <c r="S94" s="21"/>
      <c r="T94" s="21"/>
      <c r="U94" s="21"/>
      <c r="V94" s="22" t="str">
        <f t="shared" si="4"/>
        <v/>
      </c>
      <c r="W94" s="23" t="str">
        <f t="shared" si="5"/>
        <v/>
      </c>
    </row>
    <row r="95" spans="1:23" x14ac:dyDescent="0.35">
      <c r="A95" s="19" t="str">
        <f t="shared" si="3"/>
        <v/>
      </c>
      <c r="B95" s="20"/>
      <c r="C95" s="20"/>
      <c r="S95" s="21"/>
      <c r="T95" s="21"/>
      <c r="U95" s="21"/>
      <c r="V95" s="22" t="str">
        <f t="shared" si="4"/>
        <v/>
      </c>
      <c r="W95" s="23" t="str">
        <f t="shared" si="5"/>
        <v/>
      </c>
    </row>
    <row r="96" spans="1:23" x14ac:dyDescent="0.35">
      <c r="A96" s="19" t="str">
        <f t="shared" si="3"/>
        <v/>
      </c>
      <c r="B96" s="20"/>
      <c r="C96" s="20"/>
      <c r="S96" s="21"/>
      <c r="T96" s="21"/>
      <c r="U96" s="21"/>
      <c r="V96" s="22" t="str">
        <f t="shared" si="4"/>
        <v/>
      </c>
      <c r="W96" s="23" t="str">
        <f t="shared" si="5"/>
        <v/>
      </c>
    </row>
    <row r="97" spans="1:23" x14ac:dyDescent="0.35">
      <c r="A97" s="19" t="str">
        <f t="shared" si="3"/>
        <v/>
      </c>
      <c r="B97" s="20"/>
      <c r="C97" s="20"/>
      <c r="S97" s="21"/>
      <c r="T97" s="21"/>
      <c r="U97" s="21"/>
      <c r="V97" s="22" t="str">
        <f t="shared" si="4"/>
        <v/>
      </c>
      <c r="W97" s="23" t="str">
        <f t="shared" si="5"/>
        <v/>
      </c>
    </row>
    <row r="98" spans="1:23" x14ac:dyDescent="0.35">
      <c r="A98" s="19" t="str">
        <f t="shared" si="3"/>
        <v/>
      </c>
      <c r="B98" s="20"/>
      <c r="C98" s="20"/>
      <c r="S98" s="21"/>
      <c r="T98" s="21"/>
      <c r="U98" s="21"/>
      <c r="V98" s="22" t="str">
        <f t="shared" si="4"/>
        <v/>
      </c>
      <c r="W98" s="23" t="str">
        <f t="shared" si="5"/>
        <v/>
      </c>
    </row>
    <row r="99" spans="1:23" x14ac:dyDescent="0.35">
      <c r="A99" s="19" t="str">
        <f t="shared" si="3"/>
        <v/>
      </c>
      <c r="B99" s="20"/>
      <c r="C99" s="20"/>
      <c r="S99" s="21"/>
      <c r="T99" s="21"/>
      <c r="U99" s="21"/>
      <c r="V99" s="22" t="str">
        <f t="shared" si="4"/>
        <v/>
      </c>
      <c r="W99" s="23" t="str">
        <f t="shared" si="5"/>
        <v/>
      </c>
    </row>
    <row r="100" spans="1:23" x14ac:dyDescent="0.35">
      <c r="A100" s="19" t="str">
        <f t="shared" si="3"/>
        <v/>
      </c>
      <c r="B100" s="20"/>
      <c r="C100" s="20"/>
      <c r="S100" s="21"/>
      <c r="T100" s="21"/>
      <c r="U100" s="21"/>
      <c r="V100" s="22" t="str">
        <f t="shared" si="4"/>
        <v/>
      </c>
      <c r="W100" s="23" t="str">
        <f t="shared" si="5"/>
        <v/>
      </c>
    </row>
    <row r="101" spans="1:23" x14ac:dyDescent="0.35">
      <c r="A101" s="19" t="str">
        <f t="shared" si="3"/>
        <v/>
      </c>
      <c r="B101" s="20"/>
      <c r="C101" s="20"/>
      <c r="S101" s="21"/>
      <c r="T101" s="21"/>
      <c r="U101" s="21"/>
      <c r="V101" s="22" t="str">
        <f t="shared" si="4"/>
        <v/>
      </c>
      <c r="W101" s="23" t="str">
        <f t="shared" si="5"/>
        <v/>
      </c>
    </row>
    <row r="102" spans="1:23" x14ac:dyDescent="0.35">
      <c r="A102" s="19" t="str">
        <f t="shared" si="3"/>
        <v/>
      </c>
      <c r="B102" s="20"/>
      <c r="C102" s="20"/>
      <c r="S102" s="21"/>
      <c r="T102" s="21"/>
      <c r="U102" s="21"/>
      <c r="V102" s="22" t="str">
        <f t="shared" si="4"/>
        <v/>
      </c>
      <c r="W102" s="23" t="str">
        <f t="shared" si="5"/>
        <v/>
      </c>
    </row>
    <row r="103" spans="1:23" x14ac:dyDescent="0.35">
      <c r="A103" s="19" t="str">
        <f t="shared" si="3"/>
        <v/>
      </c>
      <c r="B103" s="20"/>
      <c r="C103" s="20"/>
      <c r="S103" s="21"/>
      <c r="T103" s="21"/>
      <c r="U103" s="21"/>
      <c r="V103" s="22" t="str">
        <f t="shared" si="4"/>
        <v/>
      </c>
      <c r="W103" s="23" t="str">
        <f t="shared" si="5"/>
        <v/>
      </c>
    </row>
    <row r="104" spans="1:23" x14ac:dyDescent="0.35">
      <c r="A104" s="19" t="str">
        <f t="shared" si="3"/>
        <v/>
      </c>
      <c r="B104" s="20"/>
      <c r="C104" s="20"/>
      <c r="S104" s="21"/>
      <c r="T104" s="21"/>
      <c r="U104" s="21"/>
      <c r="V104" s="22" t="str">
        <f t="shared" si="4"/>
        <v/>
      </c>
      <c r="W104" s="23" t="str">
        <f t="shared" si="5"/>
        <v/>
      </c>
    </row>
    <row r="105" spans="1:23" x14ac:dyDescent="0.35">
      <c r="A105" s="19" t="str">
        <f t="shared" si="3"/>
        <v/>
      </c>
      <c r="B105" s="20"/>
      <c r="C105" s="20"/>
      <c r="S105" s="21"/>
      <c r="T105" s="21"/>
      <c r="U105" s="21"/>
      <c r="V105" s="22" t="str">
        <f t="shared" si="4"/>
        <v/>
      </c>
      <c r="W105" s="23" t="str">
        <f t="shared" si="5"/>
        <v/>
      </c>
    </row>
    <row r="106" spans="1:23" x14ac:dyDescent="0.35">
      <c r="A106" s="19" t="str">
        <f t="shared" si="3"/>
        <v/>
      </c>
      <c r="B106" s="20"/>
      <c r="C106" s="20"/>
      <c r="S106" s="21"/>
      <c r="T106" s="21"/>
      <c r="U106" s="21"/>
      <c r="V106" s="22" t="str">
        <f t="shared" si="4"/>
        <v/>
      </c>
      <c r="W106" s="23" t="str">
        <f t="shared" si="5"/>
        <v/>
      </c>
    </row>
    <row r="107" spans="1:23" x14ac:dyDescent="0.35">
      <c r="A107" s="19" t="str">
        <f t="shared" si="3"/>
        <v/>
      </c>
      <c r="B107" s="20"/>
      <c r="C107" s="20"/>
      <c r="S107" s="21"/>
      <c r="T107" s="21"/>
      <c r="U107" s="21"/>
      <c r="V107" s="22" t="str">
        <f t="shared" si="4"/>
        <v/>
      </c>
      <c r="W107" s="23" t="str">
        <f t="shared" si="5"/>
        <v/>
      </c>
    </row>
    <row r="108" spans="1:23" x14ac:dyDescent="0.35">
      <c r="A108" s="19" t="str">
        <f t="shared" si="3"/>
        <v/>
      </c>
      <c r="B108" s="20"/>
      <c r="C108" s="20"/>
      <c r="S108" s="21"/>
      <c r="T108" s="21"/>
      <c r="U108" s="21"/>
      <c r="V108" s="22" t="str">
        <f t="shared" si="4"/>
        <v/>
      </c>
      <c r="W108" s="23" t="str">
        <f t="shared" si="5"/>
        <v/>
      </c>
    </row>
    <row r="109" spans="1:23" x14ac:dyDescent="0.35">
      <c r="A109" s="19" t="str">
        <f t="shared" si="3"/>
        <v/>
      </c>
      <c r="B109" s="20"/>
      <c r="C109" s="20"/>
      <c r="S109" s="21"/>
      <c r="T109" s="21"/>
      <c r="U109" s="21"/>
      <c r="V109" s="22" t="str">
        <f t="shared" si="4"/>
        <v/>
      </c>
      <c r="W109" s="23" t="str">
        <f t="shared" si="5"/>
        <v/>
      </c>
    </row>
    <row r="110" spans="1:23" x14ac:dyDescent="0.35">
      <c r="A110" s="19" t="str">
        <f t="shared" si="3"/>
        <v/>
      </c>
      <c r="B110" s="20"/>
      <c r="C110" s="20"/>
      <c r="S110" s="21"/>
      <c r="T110" s="21"/>
      <c r="U110" s="21"/>
      <c r="V110" s="22" t="str">
        <f t="shared" si="4"/>
        <v/>
      </c>
      <c r="W110" s="23" t="str">
        <f t="shared" si="5"/>
        <v/>
      </c>
    </row>
    <row r="111" spans="1:23" x14ac:dyDescent="0.35">
      <c r="A111" s="19" t="str">
        <f t="shared" si="3"/>
        <v/>
      </c>
      <c r="B111" s="20"/>
      <c r="C111" s="20"/>
      <c r="S111" s="21"/>
      <c r="T111" s="21"/>
      <c r="U111" s="21"/>
      <c r="V111" s="22" t="str">
        <f t="shared" si="4"/>
        <v/>
      </c>
      <c r="W111" s="23" t="str">
        <f t="shared" si="5"/>
        <v/>
      </c>
    </row>
    <row r="112" spans="1:23" x14ac:dyDescent="0.35">
      <c r="A112" s="19" t="str">
        <f t="shared" si="3"/>
        <v/>
      </c>
      <c r="B112" s="20"/>
      <c r="C112" s="20"/>
      <c r="S112" s="21"/>
      <c r="T112" s="21"/>
      <c r="U112" s="21"/>
      <c r="V112" s="22" t="str">
        <f t="shared" si="4"/>
        <v/>
      </c>
      <c r="W112" s="23" t="str">
        <f t="shared" si="5"/>
        <v/>
      </c>
    </row>
    <row r="113" spans="1:23" x14ac:dyDescent="0.35">
      <c r="A113" s="19" t="str">
        <f t="shared" si="3"/>
        <v/>
      </c>
      <c r="B113" s="20"/>
      <c r="C113" s="20"/>
      <c r="S113" s="21"/>
      <c r="T113" s="21"/>
      <c r="U113" s="21"/>
      <c r="V113" s="22" t="str">
        <f t="shared" si="4"/>
        <v/>
      </c>
      <c r="W113" s="23" t="str">
        <f t="shared" si="5"/>
        <v/>
      </c>
    </row>
    <row r="114" spans="1:23" x14ac:dyDescent="0.35">
      <c r="A114" s="19" t="str">
        <f t="shared" si="3"/>
        <v/>
      </c>
      <c r="B114" s="20"/>
      <c r="C114" s="20"/>
      <c r="S114" s="21"/>
      <c r="T114" s="21"/>
      <c r="U114" s="21"/>
      <c r="V114" s="22" t="str">
        <f t="shared" si="4"/>
        <v/>
      </c>
      <c r="W114" s="23" t="str">
        <f t="shared" si="5"/>
        <v/>
      </c>
    </row>
    <row r="115" spans="1:23" x14ac:dyDescent="0.35">
      <c r="A115" s="19" t="str">
        <f t="shared" si="3"/>
        <v/>
      </c>
      <c r="B115" s="20"/>
      <c r="C115" s="20"/>
      <c r="S115" s="21"/>
      <c r="T115" s="21"/>
      <c r="U115" s="21"/>
      <c r="V115" s="22" t="str">
        <f t="shared" si="4"/>
        <v/>
      </c>
      <c r="W115" s="23" t="str">
        <f t="shared" si="5"/>
        <v/>
      </c>
    </row>
    <row r="116" spans="1:23" x14ac:dyDescent="0.35">
      <c r="A116" s="19" t="str">
        <f t="shared" si="3"/>
        <v/>
      </c>
      <c r="B116" s="20"/>
      <c r="C116" s="20"/>
      <c r="S116" s="21"/>
      <c r="T116" s="21"/>
      <c r="U116" s="21"/>
      <c r="V116" s="22" t="str">
        <f t="shared" si="4"/>
        <v/>
      </c>
      <c r="W116" s="23" t="str">
        <f t="shared" si="5"/>
        <v/>
      </c>
    </row>
    <row r="117" spans="1:23" x14ac:dyDescent="0.35">
      <c r="A117" s="19" t="str">
        <f t="shared" si="3"/>
        <v/>
      </c>
      <c r="B117" s="20"/>
      <c r="C117" s="20"/>
      <c r="S117" s="21"/>
      <c r="T117" s="21"/>
      <c r="U117" s="21"/>
      <c r="V117" s="22" t="str">
        <f t="shared" si="4"/>
        <v/>
      </c>
      <c r="W117" s="23" t="str">
        <f t="shared" si="5"/>
        <v/>
      </c>
    </row>
    <row r="118" spans="1:23" x14ac:dyDescent="0.35">
      <c r="A118" s="19" t="str">
        <f t="shared" si="3"/>
        <v/>
      </c>
      <c r="B118" s="20"/>
      <c r="C118" s="20"/>
      <c r="S118" s="21"/>
      <c r="T118" s="21"/>
      <c r="U118" s="21"/>
      <c r="V118" s="22" t="str">
        <f t="shared" si="4"/>
        <v/>
      </c>
      <c r="W118" s="23" t="str">
        <f t="shared" si="5"/>
        <v/>
      </c>
    </row>
    <row r="119" spans="1:23" x14ac:dyDescent="0.35">
      <c r="A119" s="19" t="str">
        <f t="shared" si="3"/>
        <v/>
      </c>
      <c r="B119" s="20"/>
      <c r="C119" s="20"/>
      <c r="S119" s="21"/>
      <c r="T119" s="21"/>
      <c r="U119" s="21"/>
      <c r="V119" s="22" t="str">
        <f t="shared" si="4"/>
        <v/>
      </c>
      <c r="W119" s="23" t="str">
        <f t="shared" si="5"/>
        <v/>
      </c>
    </row>
    <row r="120" spans="1:23" x14ac:dyDescent="0.35">
      <c r="A120" s="19" t="str">
        <f t="shared" si="3"/>
        <v/>
      </c>
      <c r="B120" s="20"/>
      <c r="C120" s="20"/>
      <c r="S120" s="21"/>
      <c r="T120" s="21"/>
      <c r="U120" s="21"/>
      <c r="V120" s="22" t="str">
        <f t="shared" si="4"/>
        <v/>
      </c>
      <c r="W120" s="23" t="str">
        <f t="shared" si="5"/>
        <v/>
      </c>
    </row>
    <row r="121" spans="1:23" x14ac:dyDescent="0.35">
      <c r="A121" s="19" t="str">
        <f t="shared" si="3"/>
        <v/>
      </c>
      <c r="B121" s="20"/>
      <c r="C121" s="20"/>
      <c r="S121" s="21"/>
      <c r="T121" s="21"/>
      <c r="U121" s="21"/>
      <c r="V121" s="22" t="str">
        <f t="shared" si="4"/>
        <v/>
      </c>
      <c r="W121" s="23" t="str">
        <f t="shared" si="5"/>
        <v/>
      </c>
    </row>
    <row r="122" spans="1:23" x14ac:dyDescent="0.35">
      <c r="A122" s="19" t="str">
        <f t="shared" si="3"/>
        <v/>
      </c>
      <c r="B122" s="20"/>
      <c r="C122" s="20"/>
      <c r="S122" s="21"/>
      <c r="T122" s="21"/>
      <c r="U122" s="21"/>
      <c r="V122" s="22" t="str">
        <f t="shared" si="4"/>
        <v/>
      </c>
      <c r="W122" s="23" t="str">
        <f t="shared" si="5"/>
        <v/>
      </c>
    </row>
    <row r="123" spans="1:23" x14ac:dyDescent="0.35">
      <c r="A123" s="19" t="str">
        <f t="shared" si="3"/>
        <v/>
      </c>
      <c r="B123" s="20"/>
      <c r="C123" s="20"/>
      <c r="S123" s="21"/>
      <c r="T123" s="21"/>
      <c r="U123" s="21"/>
      <c r="V123" s="22" t="str">
        <f t="shared" si="4"/>
        <v/>
      </c>
      <c r="W123" s="23" t="str">
        <f t="shared" si="5"/>
        <v/>
      </c>
    </row>
    <row r="124" spans="1:23" x14ac:dyDescent="0.35">
      <c r="A124" s="19" t="str">
        <f t="shared" si="3"/>
        <v/>
      </c>
      <c r="B124" s="20"/>
      <c r="C124" s="20"/>
      <c r="S124" s="21"/>
      <c r="T124" s="21"/>
      <c r="U124" s="21"/>
      <c r="V124" s="22" t="str">
        <f t="shared" si="4"/>
        <v/>
      </c>
      <c r="W124" s="23" t="str">
        <f t="shared" si="5"/>
        <v/>
      </c>
    </row>
    <row r="125" spans="1:23" x14ac:dyDescent="0.35">
      <c r="A125" s="19" t="str">
        <f t="shared" si="3"/>
        <v/>
      </c>
      <c r="B125" s="20"/>
      <c r="C125" s="20"/>
      <c r="S125" s="21"/>
      <c r="T125" s="21"/>
      <c r="U125" s="21"/>
      <c r="V125" s="22" t="str">
        <f t="shared" si="4"/>
        <v/>
      </c>
      <c r="W125" s="23" t="str">
        <f t="shared" si="5"/>
        <v/>
      </c>
    </row>
    <row r="126" spans="1:23" x14ac:dyDescent="0.35">
      <c r="A126" s="19" t="str">
        <f t="shared" si="3"/>
        <v/>
      </c>
      <c r="B126" s="20"/>
      <c r="C126" s="20"/>
      <c r="S126" s="21"/>
      <c r="T126" s="21"/>
      <c r="U126" s="21"/>
      <c r="V126" s="22" t="str">
        <f t="shared" si="4"/>
        <v/>
      </c>
      <c r="W126" s="23" t="str">
        <f t="shared" si="5"/>
        <v/>
      </c>
    </row>
    <row r="127" spans="1:23" x14ac:dyDescent="0.35">
      <c r="A127" s="19" t="str">
        <f t="shared" si="3"/>
        <v/>
      </c>
      <c r="B127" s="20"/>
      <c r="C127" s="20"/>
      <c r="S127" s="21"/>
      <c r="T127" s="21"/>
      <c r="U127" s="21"/>
      <c r="V127" s="22" t="str">
        <f t="shared" si="4"/>
        <v/>
      </c>
      <c r="W127" s="23" t="str">
        <f t="shared" si="5"/>
        <v/>
      </c>
    </row>
    <row r="128" spans="1:23" x14ac:dyDescent="0.35">
      <c r="A128" s="19" t="str">
        <f t="shared" si="3"/>
        <v/>
      </c>
      <c r="B128" s="20"/>
      <c r="C128" s="20"/>
      <c r="S128" s="21"/>
      <c r="T128" s="21"/>
      <c r="U128" s="21"/>
      <c r="V128" s="22" t="str">
        <f t="shared" si="4"/>
        <v/>
      </c>
      <c r="W128" s="23" t="str">
        <f t="shared" si="5"/>
        <v/>
      </c>
    </row>
    <row r="129" spans="1:23" x14ac:dyDescent="0.35">
      <c r="A129" s="19" t="str">
        <f t="shared" si="3"/>
        <v/>
      </c>
      <c r="B129" s="20"/>
      <c r="C129" s="20"/>
      <c r="S129" s="21"/>
      <c r="T129" s="21"/>
      <c r="U129" s="21"/>
      <c r="V129" s="22" t="str">
        <f t="shared" si="4"/>
        <v/>
      </c>
      <c r="W129" s="23" t="str">
        <f t="shared" si="5"/>
        <v/>
      </c>
    </row>
    <row r="130" spans="1:23" x14ac:dyDescent="0.35">
      <c r="A130" s="19" t="str">
        <f t="shared" ref="A130:A193" si="6">IF($B130="","",Prefixo&amp;"-"&amp;TEXT(ROW()-1,"0000"))</f>
        <v/>
      </c>
      <c r="B130" s="20"/>
      <c r="C130" s="20"/>
      <c r="S130" s="21"/>
      <c r="T130" s="21"/>
      <c r="U130" s="21"/>
      <c r="V130" s="22" t="str">
        <f t="shared" ref="V130:V193" si="7">IF($T130&gt;0,$T130-$U130,"")</f>
        <v/>
      </c>
      <c r="W130" s="23" t="str">
        <f t="shared" ref="W130:W193" si="8">IF($T130&gt;0,($T130-$U130)/$T130,"")</f>
        <v/>
      </c>
    </row>
    <row r="131" spans="1:23" x14ac:dyDescent="0.35">
      <c r="A131" s="19" t="str">
        <f t="shared" si="6"/>
        <v/>
      </c>
      <c r="B131" s="20"/>
      <c r="C131" s="20"/>
      <c r="S131" s="21"/>
      <c r="T131" s="21"/>
      <c r="U131" s="21"/>
      <c r="V131" s="22" t="str">
        <f t="shared" si="7"/>
        <v/>
      </c>
      <c r="W131" s="23" t="str">
        <f t="shared" si="8"/>
        <v/>
      </c>
    </row>
    <row r="132" spans="1:23" x14ac:dyDescent="0.35">
      <c r="A132" s="19" t="str">
        <f t="shared" si="6"/>
        <v/>
      </c>
      <c r="B132" s="20"/>
      <c r="C132" s="20"/>
      <c r="S132" s="21"/>
      <c r="T132" s="21"/>
      <c r="U132" s="21"/>
      <c r="V132" s="22" t="str">
        <f t="shared" si="7"/>
        <v/>
      </c>
      <c r="W132" s="23" t="str">
        <f t="shared" si="8"/>
        <v/>
      </c>
    </row>
    <row r="133" spans="1:23" x14ac:dyDescent="0.35">
      <c r="A133" s="19" t="str">
        <f t="shared" si="6"/>
        <v/>
      </c>
      <c r="B133" s="20"/>
      <c r="C133" s="20"/>
      <c r="S133" s="21"/>
      <c r="T133" s="21"/>
      <c r="U133" s="21"/>
      <c r="V133" s="22" t="str">
        <f t="shared" si="7"/>
        <v/>
      </c>
      <c r="W133" s="23" t="str">
        <f t="shared" si="8"/>
        <v/>
      </c>
    </row>
    <row r="134" spans="1:23" x14ac:dyDescent="0.35">
      <c r="A134" s="19" t="str">
        <f t="shared" si="6"/>
        <v/>
      </c>
      <c r="B134" s="20"/>
      <c r="C134" s="20"/>
      <c r="S134" s="21"/>
      <c r="T134" s="21"/>
      <c r="U134" s="21"/>
      <c r="V134" s="22" t="str">
        <f t="shared" si="7"/>
        <v/>
      </c>
      <c r="W134" s="23" t="str">
        <f t="shared" si="8"/>
        <v/>
      </c>
    </row>
    <row r="135" spans="1:23" x14ac:dyDescent="0.35">
      <c r="A135" s="19" t="str">
        <f t="shared" si="6"/>
        <v/>
      </c>
      <c r="B135" s="20"/>
      <c r="C135" s="20"/>
      <c r="S135" s="21"/>
      <c r="T135" s="21"/>
      <c r="U135" s="21"/>
      <c r="V135" s="22" t="str">
        <f t="shared" si="7"/>
        <v/>
      </c>
      <c r="W135" s="23" t="str">
        <f t="shared" si="8"/>
        <v/>
      </c>
    </row>
    <row r="136" spans="1:23" x14ac:dyDescent="0.35">
      <c r="A136" s="19" t="str">
        <f t="shared" si="6"/>
        <v/>
      </c>
      <c r="B136" s="20"/>
      <c r="C136" s="20"/>
      <c r="S136" s="21"/>
      <c r="T136" s="21"/>
      <c r="U136" s="21"/>
      <c r="V136" s="22" t="str">
        <f t="shared" si="7"/>
        <v/>
      </c>
      <c r="W136" s="23" t="str">
        <f t="shared" si="8"/>
        <v/>
      </c>
    </row>
    <row r="137" spans="1:23" x14ac:dyDescent="0.35">
      <c r="A137" s="19" t="str">
        <f t="shared" si="6"/>
        <v/>
      </c>
      <c r="B137" s="20"/>
      <c r="C137" s="20"/>
      <c r="S137" s="21"/>
      <c r="T137" s="21"/>
      <c r="U137" s="21"/>
      <c r="V137" s="22" t="str">
        <f t="shared" si="7"/>
        <v/>
      </c>
      <c r="W137" s="23" t="str">
        <f t="shared" si="8"/>
        <v/>
      </c>
    </row>
    <row r="138" spans="1:23" x14ac:dyDescent="0.35">
      <c r="A138" s="19" t="str">
        <f t="shared" si="6"/>
        <v/>
      </c>
      <c r="B138" s="20"/>
      <c r="C138" s="20"/>
      <c r="S138" s="21"/>
      <c r="T138" s="21"/>
      <c r="U138" s="21"/>
      <c r="V138" s="22" t="str">
        <f t="shared" si="7"/>
        <v/>
      </c>
      <c r="W138" s="23" t="str">
        <f t="shared" si="8"/>
        <v/>
      </c>
    </row>
    <row r="139" spans="1:23" x14ac:dyDescent="0.35">
      <c r="A139" s="19" t="str">
        <f t="shared" si="6"/>
        <v/>
      </c>
      <c r="B139" s="20"/>
      <c r="C139" s="20"/>
      <c r="S139" s="21"/>
      <c r="T139" s="21"/>
      <c r="U139" s="21"/>
      <c r="V139" s="22" t="str">
        <f t="shared" si="7"/>
        <v/>
      </c>
      <c r="W139" s="23" t="str">
        <f t="shared" si="8"/>
        <v/>
      </c>
    </row>
    <row r="140" spans="1:23" x14ac:dyDescent="0.35">
      <c r="A140" s="19" t="str">
        <f t="shared" si="6"/>
        <v/>
      </c>
      <c r="B140" s="20"/>
      <c r="C140" s="20"/>
      <c r="S140" s="21"/>
      <c r="T140" s="21"/>
      <c r="U140" s="21"/>
      <c r="V140" s="22" t="str">
        <f t="shared" si="7"/>
        <v/>
      </c>
      <c r="W140" s="23" t="str">
        <f t="shared" si="8"/>
        <v/>
      </c>
    </row>
    <row r="141" spans="1:23" x14ac:dyDescent="0.35">
      <c r="A141" s="19" t="str">
        <f t="shared" si="6"/>
        <v/>
      </c>
      <c r="B141" s="20"/>
      <c r="C141" s="20"/>
      <c r="S141" s="21"/>
      <c r="T141" s="21"/>
      <c r="U141" s="21"/>
      <c r="V141" s="22" t="str">
        <f t="shared" si="7"/>
        <v/>
      </c>
      <c r="W141" s="23" t="str">
        <f t="shared" si="8"/>
        <v/>
      </c>
    </row>
    <row r="142" spans="1:23" x14ac:dyDescent="0.35">
      <c r="A142" s="19" t="str">
        <f t="shared" si="6"/>
        <v/>
      </c>
      <c r="B142" s="20"/>
      <c r="C142" s="20"/>
      <c r="S142" s="21"/>
      <c r="T142" s="21"/>
      <c r="U142" s="21"/>
      <c r="V142" s="22" t="str">
        <f t="shared" si="7"/>
        <v/>
      </c>
      <c r="W142" s="23" t="str">
        <f t="shared" si="8"/>
        <v/>
      </c>
    </row>
    <row r="143" spans="1:23" x14ac:dyDescent="0.35">
      <c r="A143" s="19" t="str">
        <f t="shared" si="6"/>
        <v/>
      </c>
      <c r="B143" s="20"/>
      <c r="C143" s="20"/>
      <c r="S143" s="21"/>
      <c r="T143" s="21"/>
      <c r="U143" s="21"/>
      <c r="V143" s="22" t="str">
        <f t="shared" si="7"/>
        <v/>
      </c>
      <c r="W143" s="23" t="str">
        <f t="shared" si="8"/>
        <v/>
      </c>
    </row>
    <row r="144" spans="1:23" x14ac:dyDescent="0.35">
      <c r="A144" s="19" t="str">
        <f t="shared" si="6"/>
        <v/>
      </c>
      <c r="B144" s="20"/>
      <c r="C144" s="20"/>
      <c r="S144" s="21"/>
      <c r="T144" s="21"/>
      <c r="U144" s="21"/>
      <c r="V144" s="22" t="str">
        <f t="shared" si="7"/>
        <v/>
      </c>
      <c r="W144" s="23" t="str">
        <f t="shared" si="8"/>
        <v/>
      </c>
    </row>
    <row r="145" spans="1:23" x14ac:dyDescent="0.35">
      <c r="A145" s="19" t="str">
        <f t="shared" si="6"/>
        <v/>
      </c>
      <c r="B145" s="20"/>
      <c r="C145" s="20"/>
      <c r="S145" s="21"/>
      <c r="T145" s="21"/>
      <c r="U145" s="21"/>
      <c r="V145" s="22" t="str">
        <f t="shared" si="7"/>
        <v/>
      </c>
      <c r="W145" s="23" t="str">
        <f t="shared" si="8"/>
        <v/>
      </c>
    </row>
    <row r="146" spans="1:23" x14ac:dyDescent="0.35">
      <c r="A146" s="19" t="str">
        <f t="shared" si="6"/>
        <v/>
      </c>
      <c r="B146" s="20"/>
      <c r="C146" s="20"/>
      <c r="S146" s="21"/>
      <c r="T146" s="21"/>
      <c r="U146" s="21"/>
      <c r="V146" s="22" t="str">
        <f t="shared" si="7"/>
        <v/>
      </c>
      <c r="W146" s="23" t="str">
        <f t="shared" si="8"/>
        <v/>
      </c>
    </row>
    <row r="147" spans="1:23" x14ac:dyDescent="0.35">
      <c r="A147" s="19" t="str">
        <f t="shared" si="6"/>
        <v/>
      </c>
      <c r="B147" s="20"/>
      <c r="C147" s="20"/>
      <c r="S147" s="21"/>
      <c r="T147" s="21"/>
      <c r="U147" s="21"/>
      <c r="V147" s="22" t="str">
        <f t="shared" si="7"/>
        <v/>
      </c>
      <c r="W147" s="23" t="str">
        <f t="shared" si="8"/>
        <v/>
      </c>
    </row>
    <row r="148" spans="1:23" x14ac:dyDescent="0.35">
      <c r="A148" s="19" t="str">
        <f t="shared" si="6"/>
        <v/>
      </c>
      <c r="B148" s="20"/>
      <c r="C148" s="20"/>
      <c r="S148" s="21"/>
      <c r="T148" s="21"/>
      <c r="U148" s="21"/>
      <c r="V148" s="22" t="str">
        <f t="shared" si="7"/>
        <v/>
      </c>
      <c r="W148" s="23" t="str">
        <f t="shared" si="8"/>
        <v/>
      </c>
    </row>
    <row r="149" spans="1:23" x14ac:dyDescent="0.35">
      <c r="A149" s="19" t="str">
        <f t="shared" si="6"/>
        <v/>
      </c>
      <c r="B149" s="20"/>
      <c r="C149" s="20"/>
      <c r="S149" s="21"/>
      <c r="T149" s="21"/>
      <c r="U149" s="21"/>
      <c r="V149" s="22" t="str">
        <f t="shared" si="7"/>
        <v/>
      </c>
      <c r="W149" s="23" t="str">
        <f t="shared" si="8"/>
        <v/>
      </c>
    </row>
    <row r="150" spans="1:23" x14ac:dyDescent="0.35">
      <c r="A150" s="19" t="str">
        <f t="shared" si="6"/>
        <v/>
      </c>
      <c r="B150" s="20"/>
      <c r="C150" s="20"/>
      <c r="S150" s="21"/>
      <c r="T150" s="21"/>
      <c r="U150" s="21"/>
      <c r="V150" s="22" t="str">
        <f t="shared" si="7"/>
        <v/>
      </c>
      <c r="W150" s="23" t="str">
        <f t="shared" si="8"/>
        <v/>
      </c>
    </row>
    <row r="151" spans="1:23" x14ac:dyDescent="0.35">
      <c r="A151" s="19" t="str">
        <f t="shared" si="6"/>
        <v/>
      </c>
      <c r="B151" s="20"/>
      <c r="C151" s="20"/>
      <c r="S151" s="21"/>
      <c r="T151" s="21"/>
      <c r="U151" s="21"/>
      <c r="V151" s="22" t="str">
        <f t="shared" si="7"/>
        <v/>
      </c>
      <c r="W151" s="23" t="str">
        <f t="shared" si="8"/>
        <v/>
      </c>
    </row>
    <row r="152" spans="1:23" x14ac:dyDescent="0.35">
      <c r="A152" s="19" t="str">
        <f t="shared" si="6"/>
        <v/>
      </c>
      <c r="B152" s="20"/>
      <c r="C152" s="20"/>
      <c r="S152" s="21"/>
      <c r="T152" s="21"/>
      <c r="U152" s="21"/>
      <c r="V152" s="22" t="str">
        <f t="shared" si="7"/>
        <v/>
      </c>
      <c r="W152" s="23" t="str">
        <f t="shared" si="8"/>
        <v/>
      </c>
    </row>
    <row r="153" spans="1:23" x14ac:dyDescent="0.35">
      <c r="A153" s="19" t="str">
        <f t="shared" si="6"/>
        <v/>
      </c>
      <c r="B153" s="20"/>
      <c r="C153" s="20"/>
      <c r="S153" s="21"/>
      <c r="T153" s="21"/>
      <c r="U153" s="21"/>
      <c r="V153" s="22" t="str">
        <f t="shared" si="7"/>
        <v/>
      </c>
      <c r="W153" s="23" t="str">
        <f t="shared" si="8"/>
        <v/>
      </c>
    </row>
    <row r="154" spans="1:23" x14ac:dyDescent="0.35">
      <c r="A154" s="19" t="str">
        <f t="shared" si="6"/>
        <v/>
      </c>
      <c r="B154" s="20"/>
      <c r="C154" s="20"/>
      <c r="S154" s="21"/>
      <c r="T154" s="21"/>
      <c r="U154" s="21"/>
      <c r="V154" s="22" t="str">
        <f t="shared" si="7"/>
        <v/>
      </c>
      <c r="W154" s="23" t="str">
        <f t="shared" si="8"/>
        <v/>
      </c>
    </row>
    <row r="155" spans="1:23" x14ac:dyDescent="0.35">
      <c r="A155" s="19" t="str">
        <f t="shared" si="6"/>
        <v/>
      </c>
      <c r="B155" s="20"/>
      <c r="C155" s="20"/>
      <c r="S155" s="21"/>
      <c r="T155" s="21"/>
      <c r="U155" s="21"/>
      <c r="V155" s="22" t="str">
        <f t="shared" si="7"/>
        <v/>
      </c>
      <c r="W155" s="23" t="str">
        <f t="shared" si="8"/>
        <v/>
      </c>
    </row>
    <row r="156" spans="1:23" x14ac:dyDescent="0.35">
      <c r="A156" s="19" t="str">
        <f t="shared" si="6"/>
        <v/>
      </c>
      <c r="B156" s="20"/>
      <c r="C156" s="20"/>
      <c r="S156" s="21"/>
      <c r="T156" s="21"/>
      <c r="U156" s="21"/>
      <c r="V156" s="22" t="str">
        <f t="shared" si="7"/>
        <v/>
      </c>
      <c r="W156" s="23" t="str">
        <f t="shared" si="8"/>
        <v/>
      </c>
    </row>
    <row r="157" spans="1:23" x14ac:dyDescent="0.35">
      <c r="A157" s="19" t="str">
        <f t="shared" si="6"/>
        <v/>
      </c>
      <c r="B157" s="20"/>
      <c r="C157" s="20"/>
      <c r="S157" s="21"/>
      <c r="T157" s="21"/>
      <c r="U157" s="21"/>
      <c r="V157" s="22" t="str">
        <f t="shared" si="7"/>
        <v/>
      </c>
      <c r="W157" s="23" t="str">
        <f t="shared" si="8"/>
        <v/>
      </c>
    </row>
    <row r="158" spans="1:23" x14ac:dyDescent="0.35">
      <c r="A158" s="19" t="str">
        <f t="shared" si="6"/>
        <v/>
      </c>
      <c r="B158" s="20"/>
      <c r="C158" s="20"/>
      <c r="S158" s="21"/>
      <c r="T158" s="21"/>
      <c r="U158" s="21"/>
      <c r="V158" s="22" t="str">
        <f t="shared" si="7"/>
        <v/>
      </c>
      <c r="W158" s="23" t="str">
        <f t="shared" si="8"/>
        <v/>
      </c>
    </row>
    <row r="159" spans="1:23" x14ac:dyDescent="0.35">
      <c r="A159" s="19" t="str">
        <f t="shared" si="6"/>
        <v/>
      </c>
      <c r="B159" s="20"/>
      <c r="C159" s="20"/>
      <c r="S159" s="21"/>
      <c r="T159" s="21"/>
      <c r="U159" s="21"/>
      <c r="V159" s="22" t="str">
        <f t="shared" si="7"/>
        <v/>
      </c>
      <c r="W159" s="23" t="str">
        <f t="shared" si="8"/>
        <v/>
      </c>
    </row>
    <row r="160" spans="1:23" x14ac:dyDescent="0.35">
      <c r="A160" s="19" t="str">
        <f t="shared" si="6"/>
        <v/>
      </c>
      <c r="B160" s="20"/>
      <c r="C160" s="20"/>
      <c r="S160" s="21"/>
      <c r="T160" s="21"/>
      <c r="U160" s="21"/>
      <c r="V160" s="22" t="str">
        <f t="shared" si="7"/>
        <v/>
      </c>
      <c r="W160" s="23" t="str">
        <f t="shared" si="8"/>
        <v/>
      </c>
    </row>
    <row r="161" spans="1:23" x14ac:dyDescent="0.35">
      <c r="A161" s="19" t="str">
        <f t="shared" si="6"/>
        <v/>
      </c>
      <c r="B161" s="20"/>
      <c r="C161" s="20"/>
      <c r="S161" s="21"/>
      <c r="T161" s="21"/>
      <c r="U161" s="21"/>
      <c r="V161" s="22" t="str">
        <f t="shared" si="7"/>
        <v/>
      </c>
      <c r="W161" s="23" t="str">
        <f t="shared" si="8"/>
        <v/>
      </c>
    </row>
    <row r="162" spans="1:23" x14ac:dyDescent="0.35">
      <c r="A162" s="19" t="str">
        <f t="shared" si="6"/>
        <v/>
      </c>
      <c r="B162" s="20"/>
      <c r="C162" s="20"/>
      <c r="S162" s="21"/>
      <c r="T162" s="21"/>
      <c r="U162" s="21"/>
      <c r="V162" s="22" t="str">
        <f t="shared" si="7"/>
        <v/>
      </c>
      <c r="W162" s="23" t="str">
        <f t="shared" si="8"/>
        <v/>
      </c>
    </row>
    <row r="163" spans="1:23" x14ac:dyDescent="0.35">
      <c r="A163" s="19" t="str">
        <f t="shared" si="6"/>
        <v/>
      </c>
      <c r="B163" s="20"/>
      <c r="C163" s="20"/>
      <c r="S163" s="21"/>
      <c r="T163" s="21"/>
      <c r="U163" s="21"/>
      <c r="V163" s="22" t="str">
        <f t="shared" si="7"/>
        <v/>
      </c>
      <c r="W163" s="23" t="str">
        <f t="shared" si="8"/>
        <v/>
      </c>
    </row>
    <row r="164" spans="1:23" x14ac:dyDescent="0.35">
      <c r="A164" s="19" t="str">
        <f t="shared" si="6"/>
        <v/>
      </c>
      <c r="B164" s="20"/>
      <c r="C164" s="20"/>
      <c r="S164" s="21"/>
      <c r="T164" s="21"/>
      <c r="U164" s="21"/>
      <c r="V164" s="22" t="str">
        <f t="shared" si="7"/>
        <v/>
      </c>
      <c r="W164" s="23" t="str">
        <f t="shared" si="8"/>
        <v/>
      </c>
    </row>
    <row r="165" spans="1:23" x14ac:dyDescent="0.35">
      <c r="A165" s="19" t="str">
        <f t="shared" si="6"/>
        <v/>
      </c>
      <c r="B165" s="20"/>
      <c r="C165" s="20"/>
      <c r="S165" s="21"/>
      <c r="T165" s="21"/>
      <c r="U165" s="21"/>
      <c r="V165" s="22" t="str">
        <f t="shared" si="7"/>
        <v/>
      </c>
      <c r="W165" s="23" t="str">
        <f t="shared" si="8"/>
        <v/>
      </c>
    </row>
    <row r="166" spans="1:23" x14ac:dyDescent="0.35">
      <c r="A166" s="19" t="str">
        <f t="shared" si="6"/>
        <v/>
      </c>
      <c r="B166" s="20"/>
      <c r="C166" s="20"/>
      <c r="S166" s="21"/>
      <c r="T166" s="21"/>
      <c r="U166" s="21"/>
      <c r="V166" s="22" t="str">
        <f t="shared" si="7"/>
        <v/>
      </c>
      <c r="W166" s="23" t="str">
        <f t="shared" si="8"/>
        <v/>
      </c>
    </row>
    <row r="167" spans="1:23" x14ac:dyDescent="0.35">
      <c r="A167" s="19" t="str">
        <f t="shared" si="6"/>
        <v/>
      </c>
      <c r="B167" s="20"/>
      <c r="C167" s="20"/>
      <c r="S167" s="21"/>
      <c r="T167" s="21"/>
      <c r="U167" s="21"/>
      <c r="V167" s="22" t="str">
        <f t="shared" si="7"/>
        <v/>
      </c>
      <c r="W167" s="23" t="str">
        <f t="shared" si="8"/>
        <v/>
      </c>
    </row>
    <row r="168" spans="1:23" x14ac:dyDescent="0.35">
      <c r="A168" s="19" t="str">
        <f t="shared" si="6"/>
        <v/>
      </c>
      <c r="B168" s="20"/>
      <c r="C168" s="20"/>
      <c r="S168" s="21"/>
      <c r="T168" s="21"/>
      <c r="U168" s="21"/>
      <c r="V168" s="22" t="str">
        <f t="shared" si="7"/>
        <v/>
      </c>
      <c r="W168" s="23" t="str">
        <f t="shared" si="8"/>
        <v/>
      </c>
    </row>
    <row r="169" spans="1:23" x14ac:dyDescent="0.35">
      <c r="A169" s="19" t="str">
        <f t="shared" si="6"/>
        <v/>
      </c>
      <c r="B169" s="20"/>
      <c r="C169" s="20"/>
      <c r="S169" s="21"/>
      <c r="T169" s="21"/>
      <c r="U169" s="21"/>
      <c r="V169" s="22" t="str">
        <f t="shared" si="7"/>
        <v/>
      </c>
      <c r="W169" s="23" t="str">
        <f t="shared" si="8"/>
        <v/>
      </c>
    </row>
    <row r="170" spans="1:23" x14ac:dyDescent="0.35">
      <c r="A170" s="19" t="str">
        <f t="shared" si="6"/>
        <v/>
      </c>
      <c r="B170" s="20"/>
      <c r="C170" s="20"/>
      <c r="S170" s="21"/>
      <c r="T170" s="21"/>
      <c r="U170" s="21"/>
      <c r="V170" s="22" t="str">
        <f t="shared" si="7"/>
        <v/>
      </c>
      <c r="W170" s="23" t="str">
        <f t="shared" si="8"/>
        <v/>
      </c>
    </row>
    <row r="171" spans="1:23" x14ac:dyDescent="0.35">
      <c r="A171" s="19" t="str">
        <f t="shared" si="6"/>
        <v/>
      </c>
      <c r="B171" s="20"/>
      <c r="C171" s="20"/>
      <c r="S171" s="21"/>
      <c r="T171" s="21"/>
      <c r="U171" s="21"/>
      <c r="V171" s="22" t="str">
        <f t="shared" si="7"/>
        <v/>
      </c>
      <c r="W171" s="23" t="str">
        <f t="shared" si="8"/>
        <v/>
      </c>
    </row>
    <row r="172" spans="1:23" x14ac:dyDescent="0.35">
      <c r="A172" s="19" t="str">
        <f t="shared" si="6"/>
        <v/>
      </c>
      <c r="B172" s="20"/>
      <c r="C172" s="20"/>
      <c r="S172" s="21"/>
      <c r="T172" s="21"/>
      <c r="U172" s="21"/>
      <c r="V172" s="22" t="str">
        <f t="shared" si="7"/>
        <v/>
      </c>
      <c r="W172" s="23" t="str">
        <f t="shared" si="8"/>
        <v/>
      </c>
    </row>
    <row r="173" spans="1:23" x14ac:dyDescent="0.35">
      <c r="A173" s="19" t="str">
        <f t="shared" si="6"/>
        <v/>
      </c>
      <c r="B173" s="20"/>
      <c r="C173" s="20"/>
      <c r="S173" s="21"/>
      <c r="T173" s="21"/>
      <c r="U173" s="21"/>
      <c r="V173" s="22" t="str">
        <f t="shared" si="7"/>
        <v/>
      </c>
      <c r="W173" s="23" t="str">
        <f t="shared" si="8"/>
        <v/>
      </c>
    </row>
    <row r="174" spans="1:23" x14ac:dyDescent="0.35">
      <c r="A174" s="19" t="str">
        <f t="shared" si="6"/>
        <v/>
      </c>
      <c r="B174" s="20"/>
      <c r="C174" s="20"/>
      <c r="S174" s="21"/>
      <c r="T174" s="21"/>
      <c r="U174" s="21"/>
      <c r="V174" s="22" t="str">
        <f t="shared" si="7"/>
        <v/>
      </c>
      <c r="W174" s="23" t="str">
        <f t="shared" si="8"/>
        <v/>
      </c>
    </row>
    <row r="175" spans="1:23" x14ac:dyDescent="0.35">
      <c r="A175" s="19" t="str">
        <f t="shared" si="6"/>
        <v/>
      </c>
      <c r="B175" s="20"/>
      <c r="C175" s="20"/>
      <c r="S175" s="21"/>
      <c r="T175" s="21"/>
      <c r="U175" s="21"/>
      <c r="V175" s="22" t="str">
        <f t="shared" si="7"/>
        <v/>
      </c>
      <c r="W175" s="23" t="str">
        <f t="shared" si="8"/>
        <v/>
      </c>
    </row>
    <row r="176" spans="1:23" x14ac:dyDescent="0.35">
      <c r="A176" s="19" t="str">
        <f t="shared" si="6"/>
        <v/>
      </c>
      <c r="B176" s="20"/>
      <c r="C176" s="20"/>
      <c r="S176" s="21"/>
      <c r="T176" s="21"/>
      <c r="U176" s="21"/>
      <c r="V176" s="22" t="str">
        <f t="shared" si="7"/>
        <v/>
      </c>
      <c r="W176" s="23" t="str">
        <f t="shared" si="8"/>
        <v/>
      </c>
    </row>
    <row r="177" spans="1:23" x14ac:dyDescent="0.35">
      <c r="A177" s="19" t="str">
        <f t="shared" si="6"/>
        <v/>
      </c>
      <c r="B177" s="20"/>
      <c r="C177" s="20"/>
      <c r="S177" s="21"/>
      <c r="T177" s="21"/>
      <c r="U177" s="21"/>
      <c r="V177" s="22" t="str">
        <f t="shared" si="7"/>
        <v/>
      </c>
      <c r="W177" s="23" t="str">
        <f t="shared" si="8"/>
        <v/>
      </c>
    </row>
    <row r="178" spans="1:23" x14ac:dyDescent="0.35">
      <c r="A178" s="19" t="str">
        <f t="shared" si="6"/>
        <v/>
      </c>
      <c r="B178" s="20"/>
      <c r="C178" s="20"/>
      <c r="S178" s="21"/>
      <c r="T178" s="21"/>
      <c r="U178" s="21"/>
      <c r="V178" s="22" t="str">
        <f t="shared" si="7"/>
        <v/>
      </c>
      <c r="W178" s="23" t="str">
        <f t="shared" si="8"/>
        <v/>
      </c>
    </row>
    <row r="179" spans="1:23" x14ac:dyDescent="0.35">
      <c r="A179" s="19" t="str">
        <f t="shared" si="6"/>
        <v/>
      </c>
      <c r="B179" s="20"/>
      <c r="C179" s="20"/>
      <c r="S179" s="21"/>
      <c r="T179" s="21"/>
      <c r="U179" s="21"/>
      <c r="V179" s="22" t="str">
        <f t="shared" si="7"/>
        <v/>
      </c>
      <c r="W179" s="23" t="str">
        <f t="shared" si="8"/>
        <v/>
      </c>
    </row>
    <row r="180" spans="1:23" x14ac:dyDescent="0.35">
      <c r="A180" s="19" t="str">
        <f t="shared" si="6"/>
        <v/>
      </c>
      <c r="B180" s="20"/>
      <c r="C180" s="20"/>
      <c r="S180" s="21"/>
      <c r="T180" s="21"/>
      <c r="U180" s="21"/>
      <c r="V180" s="22" t="str">
        <f t="shared" si="7"/>
        <v/>
      </c>
      <c r="W180" s="23" t="str">
        <f t="shared" si="8"/>
        <v/>
      </c>
    </row>
    <row r="181" spans="1:23" x14ac:dyDescent="0.35">
      <c r="A181" s="19" t="str">
        <f t="shared" si="6"/>
        <v/>
      </c>
      <c r="B181" s="20"/>
      <c r="C181" s="20"/>
      <c r="S181" s="21"/>
      <c r="T181" s="21"/>
      <c r="U181" s="21"/>
      <c r="V181" s="22" t="str">
        <f t="shared" si="7"/>
        <v/>
      </c>
      <c r="W181" s="23" t="str">
        <f t="shared" si="8"/>
        <v/>
      </c>
    </row>
    <row r="182" spans="1:23" x14ac:dyDescent="0.35">
      <c r="A182" s="19" t="str">
        <f t="shared" si="6"/>
        <v/>
      </c>
      <c r="B182" s="20"/>
      <c r="C182" s="20"/>
      <c r="S182" s="21"/>
      <c r="T182" s="21"/>
      <c r="U182" s="21"/>
      <c r="V182" s="22" t="str">
        <f t="shared" si="7"/>
        <v/>
      </c>
      <c r="W182" s="23" t="str">
        <f t="shared" si="8"/>
        <v/>
      </c>
    </row>
    <row r="183" spans="1:23" x14ac:dyDescent="0.35">
      <c r="A183" s="19" t="str">
        <f t="shared" si="6"/>
        <v/>
      </c>
      <c r="B183" s="20"/>
      <c r="C183" s="20"/>
      <c r="S183" s="21"/>
      <c r="T183" s="21"/>
      <c r="U183" s="21"/>
      <c r="V183" s="22" t="str">
        <f t="shared" si="7"/>
        <v/>
      </c>
      <c r="W183" s="23" t="str">
        <f t="shared" si="8"/>
        <v/>
      </c>
    </row>
    <row r="184" spans="1:23" x14ac:dyDescent="0.35">
      <c r="A184" s="19" t="str">
        <f t="shared" si="6"/>
        <v/>
      </c>
      <c r="B184" s="20"/>
      <c r="C184" s="20"/>
      <c r="S184" s="21"/>
      <c r="T184" s="21"/>
      <c r="U184" s="21"/>
      <c r="V184" s="22" t="str">
        <f t="shared" si="7"/>
        <v/>
      </c>
      <c r="W184" s="23" t="str">
        <f t="shared" si="8"/>
        <v/>
      </c>
    </row>
    <row r="185" spans="1:23" x14ac:dyDescent="0.35">
      <c r="A185" s="19" t="str">
        <f t="shared" si="6"/>
        <v/>
      </c>
      <c r="B185" s="20"/>
      <c r="C185" s="20"/>
      <c r="S185" s="21"/>
      <c r="T185" s="21"/>
      <c r="U185" s="21"/>
      <c r="V185" s="22" t="str">
        <f t="shared" si="7"/>
        <v/>
      </c>
      <c r="W185" s="23" t="str">
        <f t="shared" si="8"/>
        <v/>
      </c>
    </row>
    <row r="186" spans="1:23" x14ac:dyDescent="0.35">
      <c r="A186" s="19" t="str">
        <f t="shared" si="6"/>
        <v/>
      </c>
      <c r="B186" s="20"/>
      <c r="C186" s="20"/>
      <c r="S186" s="21"/>
      <c r="T186" s="21"/>
      <c r="U186" s="21"/>
      <c r="V186" s="22" t="str">
        <f t="shared" si="7"/>
        <v/>
      </c>
      <c r="W186" s="23" t="str">
        <f t="shared" si="8"/>
        <v/>
      </c>
    </row>
    <row r="187" spans="1:23" x14ac:dyDescent="0.35">
      <c r="A187" s="19" t="str">
        <f t="shared" si="6"/>
        <v/>
      </c>
      <c r="B187" s="20"/>
      <c r="C187" s="20"/>
      <c r="S187" s="21"/>
      <c r="T187" s="21"/>
      <c r="U187" s="21"/>
      <c r="V187" s="22" t="str">
        <f t="shared" si="7"/>
        <v/>
      </c>
      <c r="W187" s="23" t="str">
        <f t="shared" si="8"/>
        <v/>
      </c>
    </row>
    <row r="188" spans="1:23" x14ac:dyDescent="0.35">
      <c r="A188" s="19" t="str">
        <f t="shared" si="6"/>
        <v/>
      </c>
      <c r="B188" s="20"/>
      <c r="C188" s="20"/>
      <c r="S188" s="21"/>
      <c r="T188" s="21"/>
      <c r="U188" s="21"/>
      <c r="V188" s="22" t="str">
        <f t="shared" si="7"/>
        <v/>
      </c>
      <c r="W188" s="23" t="str">
        <f t="shared" si="8"/>
        <v/>
      </c>
    </row>
    <row r="189" spans="1:23" x14ac:dyDescent="0.35">
      <c r="A189" s="19" t="str">
        <f t="shared" si="6"/>
        <v/>
      </c>
      <c r="B189" s="20"/>
      <c r="C189" s="20"/>
      <c r="S189" s="21"/>
      <c r="T189" s="21"/>
      <c r="U189" s="21"/>
      <c r="V189" s="22" t="str">
        <f t="shared" si="7"/>
        <v/>
      </c>
      <c r="W189" s="23" t="str">
        <f t="shared" si="8"/>
        <v/>
      </c>
    </row>
    <row r="190" spans="1:23" x14ac:dyDescent="0.35">
      <c r="A190" s="19" t="str">
        <f t="shared" si="6"/>
        <v/>
      </c>
      <c r="B190" s="20"/>
      <c r="C190" s="20"/>
      <c r="S190" s="21"/>
      <c r="T190" s="21"/>
      <c r="U190" s="21"/>
      <c r="V190" s="22" t="str">
        <f t="shared" si="7"/>
        <v/>
      </c>
      <c r="W190" s="23" t="str">
        <f t="shared" si="8"/>
        <v/>
      </c>
    </row>
    <row r="191" spans="1:23" x14ac:dyDescent="0.35">
      <c r="A191" s="19" t="str">
        <f t="shared" si="6"/>
        <v/>
      </c>
      <c r="B191" s="20"/>
      <c r="C191" s="20"/>
      <c r="S191" s="21"/>
      <c r="T191" s="21"/>
      <c r="U191" s="21"/>
      <c r="V191" s="22" t="str">
        <f t="shared" si="7"/>
        <v/>
      </c>
      <c r="W191" s="23" t="str">
        <f t="shared" si="8"/>
        <v/>
      </c>
    </row>
    <row r="192" spans="1:23" x14ac:dyDescent="0.35">
      <c r="A192" s="19" t="str">
        <f t="shared" si="6"/>
        <v/>
      </c>
      <c r="B192" s="20"/>
      <c r="C192" s="20"/>
      <c r="S192" s="21"/>
      <c r="T192" s="21"/>
      <c r="U192" s="21"/>
      <c r="V192" s="22" t="str">
        <f t="shared" si="7"/>
        <v/>
      </c>
      <c r="W192" s="23" t="str">
        <f t="shared" si="8"/>
        <v/>
      </c>
    </row>
    <row r="193" spans="1:23" x14ac:dyDescent="0.35">
      <c r="A193" s="19" t="str">
        <f t="shared" si="6"/>
        <v/>
      </c>
      <c r="B193" s="20"/>
      <c r="C193" s="20"/>
      <c r="S193" s="21"/>
      <c r="T193" s="21"/>
      <c r="U193" s="21"/>
      <c r="V193" s="22" t="str">
        <f t="shared" si="7"/>
        <v/>
      </c>
      <c r="W193" s="23" t="str">
        <f t="shared" si="8"/>
        <v/>
      </c>
    </row>
    <row r="194" spans="1:23" x14ac:dyDescent="0.35">
      <c r="A194" s="19" t="str">
        <f t="shared" ref="A194:A257" si="9">IF($B194="","",Prefixo&amp;"-"&amp;TEXT(ROW()-1,"0000"))</f>
        <v/>
      </c>
      <c r="B194" s="20"/>
      <c r="C194" s="20"/>
      <c r="S194" s="21"/>
      <c r="T194" s="21"/>
      <c r="U194" s="21"/>
      <c r="V194" s="22" t="str">
        <f t="shared" ref="V194:V257" si="10">IF($T194&gt;0,$T194-$U194,"")</f>
        <v/>
      </c>
      <c r="W194" s="23" t="str">
        <f t="shared" ref="W194:W257" si="11">IF($T194&gt;0,($T194-$U194)/$T194,"")</f>
        <v/>
      </c>
    </row>
    <row r="195" spans="1:23" x14ac:dyDescent="0.35">
      <c r="A195" s="19" t="str">
        <f t="shared" si="9"/>
        <v/>
      </c>
      <c r="B195" s="20"/>
      <c r="C195" s="20"/>
      <c r="S195" s="21"/>
      <c r="T195" s="21"/>
      <c r="U195" s="21"/>
      <c r="V195" s="22" t="str">
        <f t="shared" si="10"/>
        <v/>
      </c>
      <c r="W195" s="23" t="str">
        <f t="shared" si="11"/>
        <v/>
      </c>
    </row>
    <row r="196" spans="1:23" x14ac:dyDescent="0.35">
      <c r="A196" s="19" t="str">
        <f t="shared" si="9"/>
        <v/>
      </c>
      <c r="B196" s="20"/>
      <c r="C196" s="20"/>
      <c r="S196" s="21"/>
      <c r="T196" s="21"/>
      <c r="U196" s="21"/>
      <c r="V196" s="22" t="str">
        <f t="shared" si="10"/>
        <v/>
      </c>
      <c r="W196" s="23" t="str">
        <f t="shared" si="11"/>
        <v/>
      </c>
    </row>
    <row r="197" spans="1:23" x14ac:dyDescent="0.35">
      <c r="A197" s="19" t="str">
        <f t="shared" si="9"/>
        <v/>
      </c>
      <c r="B197" s="20"/>
      <c r="C197" s="20"/>
      <c r="S197" s="21"/>
      <c r="T197" s="21"/>
      <c r="U197" s="21"/>
      <c r="V197" s="22" t="str">
        <f t="shared" si="10"/>
        <v/>
      </c>
      <c r="W197" s="23" t="str">
        <f t="shared" si="11"/>
        <v/>
      </c>
    </row>
    <row r="198" spans="1:23" x14ac:dyDescent="0.35">
      <c r="A198" s="19" t="str">
        <f t="shared" si="9"/>
        <v/>
      </c>
      <c r="B198" s="20"/>
      <c r="C198" s="20"/>
      <c r="S198" s="21"/>
      <c r="T198" s="21"/>
      <c r="U198" s="21"/>
      <c r="V198" s="22" t="str">
        <f t="shared" si="10"/>
        <v/>
      </c>
      <c r="W198" s="23" t="str">
        <f t="shared" si="11"/>
        <v/>
      </c>
    </row>
    <row r="199" spans="1:23" x14ac:dyDescent="0.35">
      <c r="A199" s="19" t="str">
        <f t="shared" si="9"/>
        <v/>
      </c>
      <c r="B199" s="20"/>
      <c r="C199" s="20"/>
      <c r="S199" s="21"/>
      <c r="T199" s="21"/>
      <c r="U199" s="21"/>
      <c r="V199" s="22" t="str">
        <f t="shared" si="10"/>
        <v/>
      </c>
      <c r="W199" s="23" t="str">
        <f t="shared" si="11"/>
        <v/>
      </c>
    </row>
    <row r="200" spans="1:23" x14ac:dyDescent="0.35">
      <c r="A200" s="19" t="str">
        <f t="shared" si="9"/>
        <v/>
      </c>
      <c r="B200" s="20"/>
      <c r="C200" s="20"/>
      <c r="S200" s="21"/>
      <c r="T200" s="21"/>
      <c r="U200" s="21"/>
      <c r="V200" s="22" t="str">
        <f t="shared" si="10"/>
        <v/>
      </c>
      <c r="W200" s="23" t="str">
        <f t="shared" si="11"/>
        <v/>
      </c>
    </row>
    <row r="201" spans="1:23" x14ac:dyDescent="0.35">
      <c r="A201" s="19" t="str">
        <f t="shared" si="9"/>
        <v/>
      </c>
      <c r="B201" s="20"/>
      <c r="C201" s="20"/>
      <c r="S201" s="21"/>
      <c r="T201" s="21"/>
      <c r="U201" s="21"/>
      <c r="V201" s="22" t="str">
        <f t="shared" si="10"/>
        <v/>
      </c>
      <c r="W201" s="23" t="str">
        <f t="shared" si="11"/>
        <v/>
      </c>
    </row>
    <row r="202" spans="1:23" x14ac:dyDescent="0.35">
      <c r="A202" s="19" t="str">
        <f t="shared" si="9"/>
        <v/>
      </c>
      <c r="B202" s="20"/>
      <c r="C202" s="20"/>
      <c r="S202" s="21"/>
      <c r="T202" s="21"/>
      <c r="U202" s="21"/>
      <c r="V202" s="22" t="str">
        <f t="shared" si="10"/>
        <v/>
      </c>
      <c r="W202" s="23" t="str">
        <f t="shared" si="11"/>
        <v/>
      </c>
    </row>
    <row r="203" spans="1:23" x14ac:dyDescent="0.35">
      <c r="A203" s="19" t="str">
        <f t="shared" si="9"/>
        <v/>
      </c>
      <c r="B203" s="20"/>
      <c r="C203" s="20"/>
      <c r="S203" s="21"/>
      <c r="T203" s="21"/>
      <c r="U203" s="21"/>
      <c r="V203" s="22" t="str">
        <f t="shared" si="10"/>
        <v/>
      </c>
      <c r="W203" s="23" t="str">
        <f t="shared" si="11"/>
        <v/>
      </c>
    </row>
    <row r="204" spans="1:23" x14ac:dyDescent="0.35">
      <c r="A204" s="19" t="str">
        <f t="shared" si="9"/>
        <v/>
      </c>
      <c r="B204" s="20"/>
      <c r="C204" s="20"/>
      <c r="S204" s="21"/>
      <c r="T204" s="21"/>
      <c r="U204" s="21"/>
      <c r="V204" s="22" t="str">
        <f t="shared" si="10"/>
        <v/>
      </c>
      <c r="W204" s="23" t="str">
        <f t="shared" si="11"/>
        <v/>
      </c>
    </row>
    <row r="205" spans="1:23" x14ac:dyDescent="0.35">
      <c r="A205" s="19" t="str">
        <f t="shared" si="9"/>
        <v/>
      </c>
      <c r="B205" s="20"/>
      <c r="C205" s="20"/>
      <c r="S205" s="21"/>
      <c r="T205" s="21"/>
      <c r="U205" s="21"/>
      <c r="V205" s="22" t="str">
        <f t="shared" si="10"/>
        <v/>
      </c>
      <c r="W205" s="23" t="str">
        <f t="shared" si="11"/>
        <v/>
      </c>
    </row>
    <row r="206" spans="1:23" x14ac:dyDescent="0.35">
      <c r="A206" s="19" t="str">
        <f t="shared" si="9"/>
        <v/>
      </c>
      <c r="B206" s="20"/>
      <c r="C206" s="20"/>
      <c r="S206" s="21"/>
      <c r="T206" s="21"/>
      <c r="U206" s="21"/>
      <c r="V206" s="22" t="str">
        <f t="shared" si="10"/>
        <v/>
      </c>
      <c r="W206" s="23" t="str">
        <f t="shared" si="11"/>
        <v/>
      </c>
    </row>
    <row r="207" spans="1:23" x14ac:dyDescent="0.35">
      <c r="A207" s="19" t="str">
        <f t="shared" si="9"/>
        <v/>
      </c>
      <c r="B207" s="20"/>
      <c r="C207" s="20"/>
      <c r="S207" s="21"/>
      <c r="T207" s="21"/>
      <c r="U207" s="21"/>
      <c r="V207" s="22" t="str">
        <f t="shared" si="10"/>
        <v/>
      </c>
      <c r="W207" s="23" t="str">
        <f t="shared" si="11"/>
        <v/>
      </c>
    </row>
    <row r="208" spans="1:23" x14ac:dyDescent="0.35">
      <c r="A208" s="19" t="str">
        <f t="shared" si="9"/>
        <v/>
      </c>
      <c r="B208" s="20"/>
      <c r="C208" s="20"/>
      <c r="S208" s="21"/>
      <c r="T208" s="21"/>
      <c r="U208" s="21"/>
      <c r="V208" s="22" t="str">
        <f t="shared" si="10"/>
        <v/>
      </c>
      <c r="W208" s="23" t="str">
        <f t="shared" si="11"/>
        <v/>
      </c>
    </row>
    <row r="209" spans="1:23" x14ac:dyDescent="0.35">
      <c r="A209" s="19" t="str">
        <f t="shared" si="9"/>
        <v/>
      </c>
      <c r="B209" s="20"/>
      <c r="C209" s="20"/>
      <c r="S209" s="21"/>
      <c r="T209" s="21"/>
      <c r="U209" s="21"/>
      <c r="V209" s="22" t="str">
        <f t="shared" si="10"/>
        <v/>
      </c>
      <c r="W209" s="23" t="str">
        <f t="shared" si="11"/>
        <v/>
      </c>
    </row>
    <row r="210" spans="1:23" x14ac:dyDescent="0.35">
      <c r="A210" s="19" t="str">
        <f t="shared" si="9"/>
        <v/>
      </c>
      <c r="B210" s="20"/>
      <c r="C210" s="20"/>
      <c r="S210" s="21"/>
      <c r="T210" s="21"/>
      <c r="U210" s="21"/>
      <c r="V210" s="22" t="str">
        <f t="shared" si="10"/>
        <v/>
      </c>
      <c r="W210" s="23" t="str">
        <f t="shared" si="11"/>
        <v/>
      </c>
    </row>
    <row r="211" spans="1:23" x14ac:dyDescent="0.35">
      <c r="A211" s="19" t="str">
        <f t="shared" si="9"/>
        <v/>
      </c>
      <c r="B211" s="20"/>
      <c r="C211" s="20"/>
      <c r="S211" s="21"/>
      <c r="T211" s="21"/>
      <c r="U211" s="21"/>
      <c r="V211" s="22" t="str">
        <f t="shared" si="10"/>
        <v/>
      </c>
      <c r="W211" s="23" t="str">
        <f t="shared" si="11"/>
        <v/>
      </c>
    </row>
    <row r="212" spans="1:23" x14ac:dyDescent="0.35">
      <c r="A212" s="19" t="str">
        <f t="shared" si="9"/>
        <v/>
      </c>
      <c r="B212" s="20"/>
      <c r="C212" s="20"/>
      <c r="S212" s="21"/>
      <c r="T212" s="21"/>
      <c r="U212" s="21"/>
      <c r="V212" s="22" t="str">
        <f t="shared" si="10"/>
        <v/>
      </c>
      <c r="W212" s="23" t="str">
        <f t="shared" si="11"/>
        <v/>
      </c>
    </row>
    <row r="213" spans="1:23" x14ac:dyDescent="0.35">
      <c r="A213" s="19" t="str">
        <f t="shared" si="9"/>
        <v/>
      </c>
      <c r="B213" s="20"/>
      <c r="C213" s="20"/>
      <c r="S213" s="21"/>
      <c r="T213" s="21"/>
      <c r="U213" s="21"/>
      <c r="V213" s="22" t="str">
        <f t="shared" si="10"/>
        <v/>
      </c>
      <c r="W213" s="23" t="str">
        <f t="shared" si="11"/>
        <v/>
      </c>
    </row>
    <row r="214" spans="1:23" x14ac:dyDescent="0.35">
      <c r="A214" s="19" t="str">
        <f t="shared" si="9"/>
        <v/>
      </c>
      <c r="B214" s="20"/>
      <c r="C214" s="20"/>
      <c r="S214" s="21"/>
      <c r="T214" s="21"/>
      <c r="U214" s="21"/>
      <c r="V214" s="22" t="str">
        <f t="shared" si="10"/>
        <v/>
      </c>
      <c r="W214" s="23" t="str">
        <f t="shared" si="11"/>
        <v/>
      </c>
    </row>
    <row r="215" spans="1:23" x14ac:dyDescent="0.35">
      <c r="A215" s="19" t="str">
        <f t="shared" si="9"/>
        <v/>
      </c>
      <c r="B215" s="20"/>
      <c r="C215" s="20"/>
      <c r="S215" s="21"/>
      <c r="T215" s="21"/>
      <c r="U215" s="21"/>
      <c r="V215" s="22" t="str">
        <f t="shared" si="10"/>
        <v/>
      </c>
      <c r="W215" s="23" t="str">
        <f t="shared" si="11"/>
        <v/>
      </c>
    </row>
    <row r="216" spans="1:23" x14ac:dyDescent="0.35">
      <c r="A216" s="19" t="str">
        <f t="shared" si="9"/>
        <v/>
      </c>
      <c r="B216" s="20"/>
      <c r="C216" s="20"/>
      <c r="S216" s="21"/>
      <c r="T216" s="21"/>
      <c r="U216" s="21"/>
      <c r="V216" s="22" t="str">
        <f t="shared" si="10"/>
        <v/>
      </c>
      <c r="W216" s="23" t="str">
        <f t="shared" si="11"/>
        <v/>
      </c>
    </row>
    <row r="217" spans="1:23" x14ac:dyDescent="0.35">
      <c r="A217" s="19" t="str">
        <f t="shared" si="9"/>
        <v/>
      </c>
      <c r="B217" s="20"/>
      <c r="C217" s="20"/>
      <c r="S217" s="21"/>
      <c r="T217" s="21"/>
      <c r="U217" s="21"/>
      <c r="V217" s="22" t="str">
        <f t="shared" si="10"/>
        <v/>
      </c>
      <c r="W217" s="23" t="str">
        <f t="shared" si="11"/>
        <v/>
      </c>
    </row>
    <row r="218" spans="1:23" x14ac:dyDescent="0.35">
      <c r="A218" s="19" t="str">
        <f t="shared" si="9"/>
        <v/>
      </c>
      <c r="B218" s="20"/>
      <c r="C218" s="20"/>
      <c r="S218" s="21"/>
      <c r="T218" s="21"/>
      <c r="U218" s="21"/>
      <c r="V218" s="22" t="str">
        <f t="shared" si="10"/>
        <v/>
      </c>
      <c r="W218" s="23" t="str">
        <f t="shared" si="11"/>
        <v/>
      </c>
    </row>
    <row r="219" spans="1:23" x14ac:dyDescent="0.35">
      <c r="A219" s="19" t="str">
        <f t="shared" si="9"/>
        <v/>
      </c>
      <c r="B219" s="20"/>
      <c r="C219" s="20"/>
      <c r="S219" s="21"/>
      <c r="T219" s="21"/>
      <c r="U219" s="21"/>
      <c r="V219" s="22" t="str">
        <f t="shared" si="10"/>
        <v/>
      </c>
      <c r="W219" s="23" t="str">
        <f t="shared" si="11"/>
        <v/>
      </c>
    </row>
    <row r="220" spans="1:23" x14ac:dyDescent="0.35">
      <c r="A220" s="19" t="str">
        <f t="shared" si="9"/>
        <v/>
      </c>
      <c r="B220" s="20"/>
      <c r="C220" s="20"/>
      <c r="S220" s="21"/>
      <c r="T220" s="21"/>
      <c r="U220" s="21"/>
      <c r="V220" s="22" t="str">
        <f t="shared" si="10"/>
        <v/>
      </c>
      <c r="W220" s="23" t="str">
        <f t="shared" si="11"/>
        <v/>
      </c>
    </row>
    <row r="221" spans="1:23" x14ac:dyDescent="0.35">
      <c r="A221" s="19" t="str">
        <f t="shared" si="9"/>
        <v/>
      </c>
      <c r="B221" s="20"/>
      <c r="C221" s="20"/>
      <c r="S221" s="21"/>
      <c r="T221" s="21"/>
      <c r="U221" s="21"/>
      <c r="V221" s="22" t="str">
        <f t="shared" si="10"/>
        <v/>
      </c>
      <c r="W221" s="23" t="str">
        <f t="shared" si="11"/>
        <v/>
      </c>
    </row>
    <row r="222" spans="1:23" x14ac:dyDescent="0.35">
      <c r="A222" s="19" t="str">
        <f t="shared" si="9"/>
        <v/>
      </c>
      <c r="B222" s="20"/>
      <c r="C222" s="20"/>
      <c r="S222" s="21"/>
      <c r="T222" s="21"/>
      <c r="U222" s="21"/>
      <c r="V222" s="22" t="str">
        <f t="shared" si="10"/>
        <v/>
      </c>
      <c r="W222" s="23" t="str">
        <f t="shared" si="11"/>
        <v/>
      </c>
    </row>
    <row r="223" spans="1:23" x14ac:dyDescent="0.35">
      <c r="A223" s="19" t="str">
        <f t="shared" si="9"/>
        <v/>
      </c>
      <c r="B223" s="20"/>
      <c r="C223" s="20"/>
      <c r="S223" s="21"/>
      <c r="T223" s="21"/>
      <c r="U223" s="21"/>
      <c r="V223" s="22" t="str">
        <f t="shared" si="10"/>
        <v/>
      </c>
      <c r="W223" s="23" t="str">
        <f t="shared" si="11"/>
        <v/>
      </c>
    </row>
    <row r="224" spans="1:23" x14ac:dyDescent="0.35">
      <c r="A224" s="19" t="str">
        <f t="shared" si="9"/>
        <v/>
      </c>
      <c r="B224" s="20"/>
      <c r="C224" s="20"/>
      <c r="S224" s="21"/>
      <c r="T224" s="21"/>
      <c r="U224" s="21"/>
      <c r="V224" s="22" t="str">
        <f t="shared" si="10"/>
        <v/>
      </c>
      <c r="W224" s="23" t="str">
        <f t="shared" si="11"/>
        <v/>
      </c>
    </row>
    <row r="225" spans="1:23" x14ac:dyDescent="0.35">
      <c r="A225" s="19" t="str">
        <f t="shared" si="9"/>
        <v/>
      </c>
      <c r="B225" s="20"/>
      <c r="C225" s="20"/>
      <c r="S225" s="21"/>
      <c r="T225" s="21"/>
      <c r="U225" s="21"/>
      <c r="V225" s="22" t="str">
        <f t="shared" si="10"/>
        <v/>
      </c>
      <c r="W225" s="23" t="str">
        <f t="shared" si="11"/>
        <v/>
      </c>
    </row>
    <row r="226" spans="1:23" x14ac:dyDescent="0.35">
      <c r="A226" s="19" t="str">
        <f t="shared" si="9"/>
        <v/>
      </c>
      <c r="B226" s="20"/>
      <c r="C226" s="20"/>
      <c r="S226" s="21"/>
      <c r="T226" s="21"/>
      <c r="U226" s="21"/>
      <c r="V226" s="22" t="str">
        <f t="shared" si="10"/>
        <v/>
      </c>
      <c r="W226" s="23" t="str">
        <f t="shared" si="11"/>
        <v/>
      </c>
    </row>
    <row r="227" spans="1:23" x14ac:dyDescent="0.35">
      <c r="A227" s="19" t="str">
        <f t="shared" si="9"/>
        <v/>
      </c>
      <c r="B227" s="20"/>
      <c r="C227" s="20"/>
      <c r="S227" s="21"/>
      <c r="T227" s="21"/>
      <c r="U227" s="21"/>
      <c r="V227" s="22" t="str">
        <f t="shared" si="10"/>
        <v/>
      </c>
      <c r="W227" s="23" t="str">
        <f t="shared" si="11"/>
        <v/>
      </c>
    </row>
    <row r="228" spans="1:23" x14ac:dyDescent="0.35">
      <c r="A228" s="19" t="str">
        <f t="shared" si="9"/>
        <v/>
      </c>
      <c r="B228" s="20"/>
      <c r="C228" s="20"/>
      <c r="S228" s="21"/>
      <c r="T228" s="21"/>
      <c r="U228" s="21"/>
      <c r="V228" s="22" t="str">
        <f t="shared" si="10"/>
        <v/>
      </c>
      <c r="W228" s="23" t="str">
        <f t="shared" si="11"/>
        <v/>
      </c>
    </row>
    <row r="229" spans="1:23" x14ac:dyDescent="0.35">
      <c r="A229" s="19" t="str">
        <f t="shared" si="9"/>
        <v/>
      </c>
      <c r="B229" s="20"/>
      <c r="C229" s="20"/>
      <c r="S229" s="21"/>
      <c r="T229" s="21"/>
      <c r="U229" s="21"/>
      <c r="V229" s="22" t="str">
        <f t="shared" si="10"/>
        <v/>
      </c>
      <c r="W229" s="23" t="str">
        <f t="shared" si="11"/>
        <v/>
      </c>
    </row>
    <row r="230" spans="1:23" x14ac:dyDescent="0.35">
      <c r="A230" s="19" t="str">
        <f t="shared" si="9"/>
        <v/>
      </c>
      <c r="B230" s="20"/>
      <c r="C230" s="20"/>
      <c r="S230" s="21"/>
      <c r="T230" s="21"/>
      <c r="U230" s="21"/>
      <c r="V230" s="22" t="str">
        <f t="shared" si="10"/>
        <v/>
      </c>
      <c r="W230" s="23" t="str">
        <f t="shared" si="11"/>
        <v/>
      </c>
    </row>
    <row r="231" spans="1:23" x14ac:dyDescent="0.35">
      <c r="A231" s="19" t="str">
        <f t="shared" si="9"/>
        <v/>
      </c>
      <c r="B231" s="20"/>
      <c r="C231" s="20"/>
      <c r="S231" s="21"/>
      <c r="T231" s="21"/>
      <c r="U231" s="21"/>
      <c r="V231" s="22" t="str">
        <f t="shared" si="10"/>
        <v/>
      </c>
      <c r="W231" s="23" t="str">
        <f t="shared" si="11"/>
        <v/>
      </c>
    </row>
    <row r="232" spans="1:23" x14ac:dyDescent="0.35">
      <c r="A232" s="19" t="str">
        <f t="shared" si="9"/>
        <v/>
      </c>
      <c r="B232" s="20"/>
      <c r="C232" s="20"/>
      <c r="S232" s="21"/>
      <c r="T232" s="21"/>
      <c r="U232" s="21"/>
      <c r="V232" s="22" t="str">
        <f t="shared" si="10"/>
        <v/>
      </c>
      <c r="W232" s="23" t="str">
        <f t="shared" si="11"/>
        <v/>
      </c>
    </row>
    <row r="233" spans="1:23" x14ac:dyDescent="0.35">
      <c r="A233" s="19" t="str">
        <f t="shared" si="9"/>
        <v/>
      </c>
      <c r="B233" s="20"/>
      <c r="C233" s="20"/>
      <c r="S233" s="21"/>
      <c r="T233" s="21"/>
      <c r="U233" s="21"/>
      <c r="V233" s="22" t="str">
        <f t="shared" si="10"/>
        <v/>
      </c>
      <c r="W233" s="23" t="str">
        <f t="shared" si="11"/>
        <v/>
      </c>
    </row>
    <row r="234" spans="1:23" x14ac:dyDescent="0.35">
      <c r="A234" s="19" t="str">
        <f t="shared" si="9"/>
        <v/>
      </c>
      <c r="B234" s="20"/>
      <c r="C234" s="20"/>
      <c r="S234" s="21"/>
      <c r="T234" s="21"/>
      <c r="U234" s="21"/>
      <c r="V234" s="22" t="str">
        <f t="shared" si="10"/>
        <v/>
      </c>
      <c r="W234" s="23" t="str">
        <f t="shared" si="11"/>
        <v/>
      </c>
    </row>
    <row r="235" spans="1:23" x14ac:dyDescent="0.35">
      <c r="A235" s="19" t="str">
        <f t="shared" si="9"/>
        <v/>
      </c>
      <c r="B235" s="20"/>
      <c r="C235" s="20"/>
      <c r="S235" s="21"/>
      <c r="T235" s="21"/>
      <c r="U235" s="21"/>
      <c r="V235" s="22" t="str">
        <f t="shared" si="10"/>
        <v/>
      </c>
      <c r="W235" s="23" t="str">
        <f t="shared" si="11"/>
        <v/>
      </c>
    </row>
    <row r="236" spans="1:23" x14ac:dyDescent="0.35">
      <c r="A236" s="19" t="str">
        <f t="shared" si="9"/>
        <v/>
      </c>
      <c r="B236" s="20"/>
      <c r="C236" s="20"/>
      <c r="S236" s="21"/>
      <c r="T236" s="21"/>
      <c r="U236" s="21"/>
      <c r="V236" s="22" t="str">
        <f t="shared" si="10"/>
        <v/>
      </c>
      <c r="W236" s="23" t="str">
        <f t="shared" si="11"/>
        <v/>
      </c>
    </row>
    <row r="237" spans="1:23" x14ac:dyDescent="0.35">
      <c r="A237" s="19" t="str">
        <f t="shared" si="9"/>
        <v/>
      </c>
      <c r="B237" s="20"/>
      <c r="C237" s="20"/>
      <c r="S237" s="21"/>
      <c r="T237" s="21"/>
      <c r="U237" s="21"/>
      <c r="V237" s="22" t="str">
        <f t="shared" si="10"/>
        <v/>
      </c>
      <c r="W237" s="23" t="str">
        <f t="shared" si="11"/>
        <v/>
      </c>
    </row>
    <row r="238" spans="1:23" x14ac:dyDescent="0.35">
      <c r="A238" s="19" t="str">
        <f t="shared" si="9"/>
        <v/>
      </c>
      <c r="B238" s="20"/>
      <c r="C238" s="20"/>
      <c r="S238" s="21"/>
      <c r="T238" s="21"/>
      <c r="U238" s="21"/>
      <c r="V238" s="22" t="str">
        <f t="shared" si="10"/>
        <v/>
      </c>
      <c r="W238" s="23" t="str">
        <f t="shared" si="11"/>
        <v/>
      </c>
    </row>
    <row r="239" spans="1:23" x14ac:dyDescent="0.35">
      <c r="A239" s="19" t="str">
        <f t="shared" si="9"/>
        <v/>
      </c>
      <c r="B239" s="20"/>
      <c r="C239" s="20"/>
      <c r="S239" s="21"/>
      <c r="T239" s="21"/>
      <c r="U239" s="21"/>
      <c r="V239" s="22" t="str">
        <f t="shared" si="10"/>
        <v/>
      </c>
      <c r="W239" s="23" t="str">
        <f t="shared" si="11"/>
        <v/>
      </c>
    </row>
    <row r="240" spans="1:23" x14ac:dyDescent="0.35">
      <c r="A240" s="19" t="str">
        <f t="shared" si="9"/>
        <v/>
      </c>
      <c r="B240" s="20"/>
      <c r="C240" s="20"/>
      <c r="S240" s="21"/>
      <c r="T240" s="21"/>
      <c r="U240" s="21"/>
      <c r="V240" s="22" t="str">
        <f t="shared" si="10"/>
        <v/>
      </c>
      <c r="W240" s="23" t="str">
        <f t="shared" si="11"/>
        <v/>
      </c>
    </row>
    <row r="241" spans="1:23" x14ac:dyDescent="0.35">
      <c r="A241" s="19" t="str">
        <f t="shared" si="9"/>
        <v/>
      </c>
      <c r="B241" s="20"/>
      <c r="C241" s="20"/>
      <c r="S241" s="21"/>
      <c r="T241" s="21"/>
      <c r="U241" s="21"/>
      <c r="V241" s="22" t="str">
        <f t="shared" si="10"/>
        <v/>
      </c>
      <c r="W241" s="23" t="str">
        <f t="shared" si="11"/>
        <v/>
      </c>
    </row>
    <row r="242" spans="1:23" x14ac:dyDescent="0.35">
      <c r="A242" s="19" t="str">
        <f t="shared" si="9"/>
        <v/>
      </c>
      <c r="B242" s="20"/>
      <c r="C242" s="20"/>
      <c r="S242" s="21"/>
      <c r="T242" s="21"/>
      <c r="U242" s="21"/>
      <c r="V242" s="22" t="str">
        <f t="shared" si="10"/>
        <v/>
      </c>
      <c r="W242" s="23" t="str">
        <f t="shared" si="11"/>
        <v/>
      </c>
    </row>
    <row r="243" spans="1:23" x14ac:dyDescent="0.35">
      <c r="A243" s="19" t="str">
        <f t="shared" si="9"/>
        <v/>
      </c>
      <c r="B243" s="20"/>
      <c r="C243" s="20"/>
      <c r="S243" s="21"/>
      <c r="T243" s="21"/>
      <c r="U243" s="21"/>
      <c r="V243" s="22" t="str">
        <f t="shared" si="10"/>
        <v/>
      </c>
      <c r="W243" s="23" t="str">
        <f t="shared" si="11"/>
        <v/>
      </c>
    </row>
    <row r="244" spans="1:23" x14ac:dyDescent="0.35">
      <c r="A244" s="19" t="str">
        <f t="shared" si="9"/>
        <v/>
      </c>
      <c r="B244" s="20"/>
      <c r="C244" s="20"/>
      <c r="S244" s="21"/>
      <c r="T244" s="21"/>
      <c r="U244" s="21"/>
      <c r="V244" s="22" t="str">
        <f t="shared" si="10"/>
        <v/>
      </c>
      <c r="W244" s="23" t="str">
        <f t="shared" si="11"/>
        <v/>
      </c>
    </row>
    <row r="245" spans="1:23" x14ac:dyDescent="0.35">
      <c r="A245" s="19" t="str">
        <f t="shared" si="9"/>
        <v/>
      </c>
      <c r="B245" s="20"/>
      <c r="C245" s="20"/>
      <c r="S245" s="21"/>
      <c r="T245" s="21"/>
      <c r="U245" s="21"/>
      <c r="V245" s="22" t="str">
        <f t="shared" si="10"/>
        <v/>
      </c>
      <c r="W245" s="23" t="str">
        <f t="shared" si="11"/>
        <v/>
      </c>
    </row>
    <row r="246" spans="1:23" x14ac:dyDescent="0.35">
      <c r="A246" s="19" t="str">
        <f t="shared" si="9"/>
        <v/>
      </c>
      <c r="B246" s="20"/>
      <c r="C246" s="20"/>
      <c r="S246" s="21"/>
      <c r="T246" s="21"/>
      <c r="U246" s="21"/>
      <c r="V246" s="22" t="str">
        <f t="shared" si="10"/>
        <v/>
      </c>
      <c r="W246" s="23" t="str">
        <f t="shared" si="11"/>
        <v/>
      </c>
    </row>
    <row r="247" spans="1:23" x14ac:dyDescent="0.35">
      <c r="A247" s="19" t="str">
        <f t="shared" si="9"/>
        <v/>
      </c>
      <c r="B247" s="20"/>
      <c r="C247" s="20"/>
      <c r="S247" s="21"/>
      <c r="T247" s="21"/>
      <c r="U247" s="21"/>
      <c r="V247" s="22" t="str">
        <f t="shared" si="10"/>
        <v/>
      </c>
      <c r="W247" s="23" t="str">
        <f t="shared" si="11"/>
        <v/>
      </c>
    </row>
    <row r="248" spans="1:23" x14ac:dyDescent="0.35">
      <c r="A248" s="19" t="str">
        <f t="shared" si="9"/>
        <v/>
      </c>
      <c r="B248" s="20"/>
      <c r="C248" s="20"/>
      <c r="S248" s="21"/>
      <c r="T248" s="21"/>
      <c r="U248" s="21"/>
      <c r="V248" s="22" t="str">
        <f t="shared" si="10"/>
        <v/>
      </c>
      <c r="W248" s="23" t="str">
        <f t="shared" si="11"/>
        <v/>
      </c>
    </row>
    <row r="249" spans="1:23" x14ac:dyDescent="0.35">
      <c r="A249" s="19" t="str">
        <f t="shared" si="9"/>
        <v/>
      </c>
      <c r="B249" s="20"/>
      <c r="C249" s="20"/>
      <c r="S249" s="21"/>
      <c r="T249" s="21"/>
      <c r="U249" s="21"/>
      <c r="V249" s="22" t="str">
        <f t="shared" si="10"/>
        <v/>
      </c>
      <c r="W249" s="23" t="str">
        <f t="shared" si="11"/>
        <v/>
      </c>
    </row>
    <row r="250" spans="1:23" x14ac:dyDescent="0.35">
      <c r="A250" s="19" t="str">
        <f t="shared" si="9"/>
        <v/>
      </c>
      <c r="B250" s="20"/>
      <c r="C250" s="20"/>
      <c r="S250" s="21"/>
      <c r="T250" s="21"/>
      <c r="U250" s="21"/>
      <c r="V250" s="22" t="str">
        <f t="shared" si="10"/>
        <v/>
      </c>
      <c r="W250" s="23" t="str">
        <f t="shared" si="11"/>
        <v/>
      </c>
    </row>
    <row r="251" spans="1:23" x14ac:dyDescent="0.35">
      <c r="A251" s="19" t="str">
        <f t="shared" si="9"/>
        <v/>
      </c>
      <c r="B251" s="20"/>
      <c r="C251" s="20"/>
      <c r="S251" s="21"/>
      <c r="T251" s="21"/>
      <c r="U251" s="21"/>
      <c r="V251" s="22" t="str">
        <f t="shared" si="10"/>
        <v/>
      </c>
      <c r="W251" s="23" t="str">
        <f t="shared" si="11"/>
        <v/>
      </c>
    </row>
    <row r="252" spans="1:23" x14ac:dyDescent="0.35">
      <c r="A252" s="19" t="str">
        <f t="shared" si="9"/>
        <v/>
      </c>
      <c r="B252" s="20"/>
      <c r="C252" s="20"/>
      <c r="S252" s="21"/>
      <c r="T252" s="21"/>
      <c r="U252" s="21"/>
      <c r="V252" s="22" t="str">
        <f t="shared" si="10"/>
        <v/>
      </c>
      <c r="W252" s="23" t="str">
        <f t="shared" si="11"/>
        <v/>
      </c>
    </row>
    <row r="253" spans="1:23" x14ac:dyDescent="0.35">
      <c r="A253" s="19" t="str">
        <f t="shared" si="9"/>
        <v/>
      </c>
      <c r="B253" s="20"/>
      <c r="C253" s="20"/>
      <c r="S253" s="21"/>
      <c r="T253" s="21"/>
      <c r="U253" s="21"/>
      <c r="V253" s="22" t="str">
        <f t="shared" si="10"/>
        <v/>
      </c>
      <c r="W253" s="23" t="str">
        <f t="shared" si="11"/>
        <v/>
      </c>
    </row>
    <row r="254" spans="1:23" x14ac:dyDescent="0.35">
      <c r="A254" s="19" t="str">
        <f t="shared" si="9"/>
        <v/>
      </c>
      <c r="B254" s="20"/>
      <c r="C254" s="20"/>
      <c r="S254" s="21"/>
      <c r="T254" s="21"/>
      <c r="U254" s="21"/>
      <c r="V254" s="22" t="str">
        <f t="shared" si="10"/>
        <v/>
      </c>
      <c r="W254" s="23" t="str">
        <f t="shared" si="11"/>
        <v/>
      </c>
    </row>
    <row r="255" spans="1:23" x14ac:dyDescent="0.35">
      <c r="A255" s="19" t="str">
        <f t="shared" si="9"/>
        <v/>
      </c>
      <c r="B255" s="20"/>
      <c r="C255" s="20"/>
      <c r="S255" s="21"/>
      <c r="T255" s="21"/>
      <c r="U255" s="21"/>
      <c r="V255" s="22" t="str">
        <f t="shared" si="10"/>
        <v/>
      </c>
      <c r="W255" s="23" t="str">
        <f t="shared" si="11"/>
        <v/>
      </c>
    </row>
    <row r="256" spans="1:23" x14ac:dyDescent="0.35">
      <c r="A256" s="19" t="str">
        <f t="shared" si="9"/>
        <v/>
      </c>
      <c r="B256" s="20"/>
      <c r="C256" s="20"/>
      <c r="S256" s="21"/>
      <c r="T256" s="21"/>
      <c r="U256" s="21"/>
      <c r="V256" s="22" t="str">
        <f t="shared" si="10"/>
        <v/>
      </c>
      <c r="W256" s="23" t="str">
        <f t="shared" si="11"/>
        <v/>
      </c>
    </row>
    <row r="257" spans="1:23" x14ac:dyDescent="0.35">
      <c r="A257" s="19" t="str">
        <f t="shared" si="9"/>
        <v/>
      </c>
      <c r="B257" s="20"/>
      <c r="C257" s="20"/>
      <c r="S257" s="21"/>
      <c r="T257" s="21"/>
      <c r="U257" s="21"/>
      <c r="V257" s="22" t="str">
        <f t="shared" si="10"/>
        <v/>
      </c>
      <c r="W257" s="23" t="str">
        <f t="shared" si="11"/>
        <v/>
      </c>
    </row>
    <row r="258" spans="1:23" x14ac:dyDescent="0.35">
      <c r="A258" s="19" t="str">
        <f t="shared" ref="A258:A321" si="12">IF($B258="","",Prefixo&amp;"-"&amp;TEXT(ROW()-1,"0000"))</f>
        <v/>
      </c>
      <c r="B258" s="20"/>
      <c r="C258" s="20"/>
      <c r="S258" s="21"/>
      <c r="T258" s="21"/>
      <c r="U258" s="21"/>
      <c r="V258" s="22" t="str">
        <f t="shared" ref="V258:V321" si="13">IF($T258&gt;0,$T258-$U258,"")</f>
        <v/>
      </c>
      <c r="W258" s="23" t="str">
        <f t="shared" ref="W258:W321" si="14">IF($T258&gt;0,($T258-$U258)/$T258,"")</f>
        <v/>
      </c>
    </row>
    <row r="259" spans="1:23" x14ac:dyDescent="0.35">
      <c r="A259" s="19" t="str">
        <f t="shared" si="12"/>
        <v/>
      </c>
      <c r="B259" s="20"/>
      <c r="C259" s="20"/>
      <c r="S259" s="21"/>
      <c r="T259" s="21"/>
      <c r="U259" s="21"/>
      <c r="V259" s="22" t="str">
        <f t="shared" si="13"/>
        <v/>
      </c>
      <c r="W259" s="23" t="str">
        <f t="shared" si="14"/>
        <v/>
      </c>
    </row>
    <row r="260" spans="1:23" x14ac:dyDescent="0.35">
      <c r="A260" s="19" t="str">
        <f t="shared" si="12"/>
        <v/>
      </c>
      <c r="B260" s="20"/>
      <c r="C260" s="20"/>
      <c r="S260" s="21"/>
      <c r="T260" s="21"/>
      <c r="U260" s="21"/>
      <c r="V260" s="22" t="str">
        <f t="shared" si="13"/>
        <v/>
      </c>
      <c r="W260" s="23" t="str">
        <f t="shared" si="14"/>
        <v/>
      </c>
    </row>
    <row r="261" spans="1:23" x14ac:dyDescent="0.35">
      <c r="A261" s="19" t="str">
        <f t="shared" si="12"/>
        <v/>
      </c>
      <c r="B261" s="20"/>
      <c r="C261" s="20"/>
      <c r="S261" s="21"/>
      <c r="T261" s="21"/>
      <c r="U261" s="21"/>
      <c r="V261" s="22" t="str">
        <f t="shared" si="13"/>
        <v/>
      </c>
      <c r="W261" s="23" t="str">
        <f t="shared" si="14"/>
        <v/>
      </c>
    </row>
    <row r="262" spans="1:23" x14ac:dyDescent="0.35">
      <c r="A262" s="19" t="str">
        <f t="shared" si="12"/>
        <v/>
      </c>
      <c r="B262" s="20"/>
      <c r="C262" s="20"/>
      <c r="S262" s="21"/>
      <c r="T262" s="21"/>
      <c r="U262" s="21"/>
      <c r="V262" s="22" t="str">
        <f t="shared" si="13"/>
        <v/>
      </c>
      <c r="W262" s="23" t="str">
        <f t="shared" si="14"/>
        <v/>
      </c>
    </row>
    <row r="263" spans="1:23" x14ac:dyDescent="0.35">
      <c r="A263" s="19" t="str">
        <f t="shared" si="12"/>
        <v/>
      </c>
      <c r="B263" s="20"/>
      <c r="C263" s="20"/>
      <c r="S263" s="21"/>
      <c r="T263" s="21"/>
      <c r="U263" s="21"/>
      <c r="V263" s="22" t="str">
        <f t="shared" si="13"/>
        <v/>
      </c>
      <c r="W263" s="23" t="str">
        <f t="shared" si="14"/>
        <v/>
      </c>
    </row>
    <row r="264" spans="1:23" x14ac:dyDescent="0.35">
      <c r="A264" s="19" t="str">
        <f t="shared" si="12"/>
        <v/>
      </c>
      <c r="B264" s="20"/>
      <c r="C264" s="20"/>
      <c r="S264" s="21"/>
      <c r="T264" s="21"/>
      <c r="U264" s="21"/>
      <c r="V264" s="22" t="str">
        <f t="shared" si="13"/>
        <v/>
      </c>
      <c r="W264" s="23" t="str">
        <f t="shared" si="14"/>
        <v/>
      </c>
    </row>
    <row r="265" spans="1:23" x14ac:dyDescent="0.35">
      <c r="A265" s="19" t="str">
        <f t="shared" si="12"/>
        <v/>
      </c>
      <c r="B265" s="20"/>
      <c r="C265" s="20"/>
      <c r="S265" s="21"/>
      <c r="T265" s="21"/>
      <c r="U265" s="21"/>
      <c r="V265" s="22" t="str">
        <f t="shared" si="13"/>
        <v/>
      </c>
      <c r="W265" s="23" t="str">
        <f t="shared" si="14"/>
        <v/>
      </c>
    </row>
    <row r="266" spans="1:23" x14ac:dyDescent="0.35">
      <c r="A266" s="19" t="str">
        <f t="shared" si="12"/>
        <v/>
      </c>
      <c r="B266" s="20"/>
      <c r="C266" s="20"/>
      <c r="S266" s="21"/>
      <c r="T266" s="21"/>
      <c r="U266" s="21"/>
      <c r="V266" s="22" t="str">
        <f t="shared" si="13"/>
        <v/>
      </c>
      <c r="W266" s="23" t="str">
        <f t="shared" si="14"/>
        <v/>
      </c>
    </row>
    <row r="267" spans="1:23" x14ac:dyDescent="0.35">
      <c r="A267" s="19" t="str">
        <f t="shared" si="12"/>
        <v/>
      </c>
      <c r="B267" s="20"/>
      <c r="C267" s="20"/>
      <c r="S267" s="21"/>
      <c r="T267" s="21"/>
      <c r="U267" s="21"/>
      <c r="V267" s="22" t="str">
        <f t="shared" si="13"/>
        <v/>
      </c>
      <c r="W267" s="23" t="str">
        <f t="shared" si="14"/>
        <v/>
      </c>
    </row>
    <row r="268" spans="1:23" x14ac:dyDescent="0.35">
      <c r="A268" s="19" t="str">
        <f t="shared" si="12"/>
        <v/>
      </c>
      <c r="B268" s="20"/>
      <c r="C268" s="20"/>
      <c r="S268" s="21"/>
      <c r="T268" s="21"/>
      <c r="U268" s="21"/>
      <c r="V268" s="22" t="str">
        <f t="shared" si="13"/>
        <v/>
      </c>
      <c r="W268" s="23" t="str">
        <f t="shared" si="14"/>
        <v/>
      </c>
    </row>
    <row r="269" spans="1:23" x14ac:dyDescent="0.35">
      <c r="A269" s="19" t="str">
        <f t="shared" si="12"/>
        <v/>
      </c>
      <c r="B269" s="20"/>
      <c r="C269" s="20"/>
      <c r="S269" s="21"/>
      <c r="T269" s="21"/>
      <c r="U269" s="21"/>
      <c r="V269" s="22" t="str">
        <f t="shared" si="13"/>
        <v/>
      </c>
      <c r="W269" s="23" t="str">
        <f t="shared" si="14"/>
        <v/>
      </c>
    </row>
    <row r="270" spans="1:23" x14ac:dyDescent="0.35">
      <c r="A270" s="19" t="str">
        <f t="shared" si="12"/>
        <v/>
      </c>
      <c r="B270" s="20"/>
      <c r="C270" s="20"/>
      <c r="S270" s="21"/>
      <c r="T270" s="21"/>
      <c r="U270" s="21"/>
      <c r="V270" s="22" t="str">
        <f t="shared" si="13"/>
        <v/>
      </c>
      <c r="W270" s="23" t="str">
        <f t="shared" si="14"/>
        <v/>
      </c>
    </row>
    <row r="271" spans="1:23" x14ac:dyDescent="0.35">
      <c r="A271" s="19" t="str">
        <f t="shared" si="12"/>
        <v/>
      </c>
      <c r="B271" s="20"/>
      <c r="C271" s="20"/>
      <c r="S271" s="21"/>
      <c r="T271" s="21"/>
      <c r="U271" s="21"/>
      <c r="V271" s="22" t="str">
        <f t="shared" si="13"/>
        <v/>
      </c>
      <c r="W271" s="23" t="str">
        <f t="shared" si="14"/>
        <v/>
      </c>
    </row>
    <row r="272" spans="1:23" x14ac:dyDescent="0.35">
      <c r="A272" s="19" t="str">
        <f t="shared" si="12"/>
        <v/>
      </c>
      <c r="B272" s="20"/>
      <c r="C272" s="20"/>
      <c r="S272" s="21"/>
      <c r="T272" s="21"/>
      <c r="U272" s="21"/>
      <c r="V272" s="22" t="str">
        <f t="shared" si="13"/>
        <v/>
      </c>
      <c r="W272" s="23" t="str">
        <f t="shared" si="14"/>
        <v/>
      </c>
    </row>
    <row r="273" spans="1:23" x14ac:dyDescent="0.35">
      <c r="A273" s="19" t="str">
        <f t="shared" si="12"/>
        <v/>
      </c>
      <c r="B273" s="20"/>
      <c r="C273" s="20"/>
      <c r="S273" s="21"/>
      <c r="T273" s="21"/>
      <c r="U273" s="21"/>
      <c r="V273" s="22" t="str">
        <f t="shared" si="13"/>
        <v/>
      </c>
      <c r="W273" s="23" t="str">
        <f t="shared" si="14"/>
        <v/>
      </c>
    </row>
    <row r="274" spans="1:23" x14ac:dyDescent="0.35">
      <c r="A274" s="19" t="str">
        <f t="shared" si="12"/>
        <v/>
      </c>
      <c r="B274" s="20"/>
      <c r="C274" s="20"/>
      <c r="S274" s="21"/>
      <c r="T274" s="21"/>
      <c r="U274" s="21"/>
      <c r="V274" s="22" t="str">
        <f t="shared" si="13"/>
        <v/>
      </c>
      <c r="W274" s="23" t="str">
        <f t="shared" si="14"/>
        <v/>
      </c>
    </row>
    <row r="275" spans="1:23" x14ac:dyDescent="0.35">
      <c r="A275" s="19" t="str">
        <f t="shared" si="12"/>
        <v/>
      </c>
      <c r="B275" s="20"/>
      <c r="C275" s="20"/>
      <c r="S275" s="21"/>
      <c r="T275" s="21"/>
      <c r="U275" s="21"/>
      <c r="V275" s="22" t="str">
        <f t="shared" si="13"/>
        <v/>
      </c>
      <c r="W275" s="23" t="str">
        <f t="shared" si="14"/>
        <v/>
      </c>
    </row>
    <row r="276" spans="1:23" x14ac:dyDescent="0.35">
      <c r="A276" s="19" t="str">
        <f t="shared" si="12"/>
        <v/>
      </c>
      <c r="B276" s="20"/>
      <c r="C276" s="20"/>
      <c r="S276" s="21"/>
      <c r="T276" s="21"/>
      <c r="U276" s="21"/>
      <c r="V276" s="22" t="str">
        <f t="shared" si="13"/>
        <v/>
      </c>
      <c r="W276" s="23" t="str">
        <f t="shared" si="14"/>
        <v/>
      </c>
    </row>
    <row r="277" spans="1:23" x14ac:dyDescent="0.35">
      <c r="A277" s="19" t="str">
        <f t="shared" si="12"/>
        <v/>
      </c>
      <c r="B277" s="20"/>
      <c r="C277" s="20"/>
      <c r="S277" s="21"/>
      <c r="T277" s="21"/>
      <c r="U277" s="21"/>
      <c r="V277" s="22" t="str">
        <f t="shared" si="13"/>
        <v/>
      </c>
      <c r="W277" s="23" t="str">
        <f t="shared" si="14"/>
        <v/>
      </c>
    </row>
    <row r="278" spans="1:23" x14ac:dyDescent="0.35">
      <c r="A278" s="19" t="str">
        <f t="shared" si="12"/>
        <v/>
      </c>
      <c r="B278" s="20"/>
      <c r="C278" s="20"/>
      <c r="S278" s="21"/>
      <c r="T278" s="21"/>
      <c r="U278" s="21"/>
      <c r="V278" s="22" t="str">
        <f t="shared" si="13"/>
        <v/>
      </c>
      <c r="W278" s="23" t="str">
        <f t="shared" si="14"/>
        <v/>
      </c>
    </row>
    <row r="279" spans="1:23" x14ac:dyDescent="0.35">
      <c r="A279" s="19" t="str">
        <f t="shared" si="12"/>
        <v/>
      </c>
      <c r="B279" s="20"/>
      <c r="C279" s="20"/>
      <c r="S279" s="21"/>
      <c r="T279" s="21"/>
      <c r="U279" s="21"/>
      <c r="V279" s="22" t="str">
        <f t="shared" si="13"/>
        <v/>
      </c>
      <c r="W279" s="23" t="str">
        <f t="shared" si="14"/>
        <v/>
      </c>
    </row>
    <row r="280" spans="1:23" x14ac:dyDescent="0.35">
      <c r="A280" s="19" t="str">
        <f t="shared" si="12"/>
        <v/>
      </c>
      <c r="B280" s="20"/>
      <c r="C280" s="20"/>
      <c r="S280" s="21"/>
      <c r="T280" s="21"/>
      <c r="U280" s="21"/>
      <c r="V280" s="22" t="str">
        <f t="shared" si="13"/>
        <v/>
      </c>
      <c r="W280" s="23" t="str">
        <f t="shared" si="14"/>
        <v/>
      </c>
    </row>
    <row r="281" spans="1:23" x14ac:dyDescent="0.35">
      <c r="A281" s="19" t="str">
        <f t="shared" si="12"/>
        <v/>
      </c>
      <c r="B281" s="20"/>
      <c r="C281" s="20"/>
      <c r="S281" s="21"/>
      <c r="T281" s="21"/>
      <c r="U281" s="21"/>
      <c r="V281" s="22" t="str">
        <f t="shared" si="13"/>
        <v/>
      </c>
      <c r="W281" s="23" t="str">
        <f t="shared" si="14"/>
        <v/>
      </c>
    </row>
    <row r="282" spans="1:23" x14ac:dyDescent="0.35">
      <c r="A282" s="19" t="str">
        <f t="shared" si="12"/>
        <v/>
      </c>
      <c r="B282" s="20"/>
      <c r="C282" s="20"/>
      <c r="S282" s="21"/>
      <c r="T282" s="21"/>
      <c r="U282" s="21"/>
      <c r="V282" s="22" t="str">
        <f t="shared" si="13"/>
        <v/>
      </c>
      <c r="W282" s="23" t="str">
        <f t="shared" si="14"/>
        <v/>
      </c>
    </row>
    <row r="283" spans="1:23" x14ac:dyDescent="0.35">
      <c r="A283" s="19" t="str">
        <f t="shared" si="12"/>
        <v/>
      </c>
      <c r="B283" s="20"/>
      <c r="C283" s="20"/>
      <c r="S283" s="21"/>
      <c r="T283" s="21"/>
      <c r="U283" s="21"/>
      <c r="V283" s="22" t="str">
        <f t="shared" si="13"/>
        <v/>
      </c>
      <c r="W283" s="23" t="str">
        <f t="shared" si="14"/>
        <v/>
      </c>
    </row>
    <row r="284" spans="1:23" x14ac:dyDescent="0.35">
      <c r="A284" s="19" t="str">
        <f t="shared" si="12"/>
        <v/>
      </c>
      <c r="B284" s="20"/>
      <c r="C284" s="20"/>
      <c r="S284" s="21"/>
      <c r="T284" s="21"/>
      <c r="U284" s="21"/>
      <c r="V284" s="22" t="str">
        <f t="shared" si="13"/>
        <v/>
      </c>
      <c r="W284" s="23" t="str">
        <f t="shared" si="14"/>
        <v/>
      </c>
    </row>
    <row r="285" spans="1:23" x14ac:dyDescent="0.35">
      <c r="A285" s="19" t="str">
        <f t="shared" si="12"/>
        <v/>
      </c>
      <c r="B285" s="20"/>
      <c r="C285" s="20"/>
      <c r="S285" s="21"/>
      <c r="T285" s="21"/>
      <c r="U285" s="21"/>
      <c r="V285" s="22" t="str">
        <f t="shared" si="13"/>
        <v/>
      </c>
      <c r="W285" s="23" t="str">
        <f t="shared" si="14"/>
        <v/>
      </c>
    </row>
    <row r="286" spans="1:23" x14ac:dyDescent="0.35">
      <c r="A286" s="19" t="str">
        <f t="shared" si="12"/>
        <v/>
      </c>
      <c r="B286" s="20"/>
      <c r="C286" s="20"/>
      <c r="S286" s="21"/>
      <c r="T286" s="21"/>
      <c r="U286" s="21"/>
      <c r="V286" s="22" t="str">
        <f t="shared" si="13"/>
        <v/>
      </c>
      <c r="W286" s="23" t="str">
        <f t="shared" si="14"/>
        <v/>
      </c>
    </row>
    <row r="287" spans="1:23" x14ac:dyDescent="0.35">
      <c r="A287" s="19" t="str">
        <f t="shared" si="12"/>
        <v/>
      </c>
      <c r="B287" s="20"/>
      <c r="C287" s="20"/>
      <c r="S287" s="21"/>
      <c r="T287" s="21"/>
      <c r="U287" s="21"/>
      <c r="V287" s="22" t="str">
        <f t="shared" si="13"/>
        <v/>
      </c>
      <c r="W287" s="23" t="str">
        <f t="shared" si="14"/>
        <v/>
      </c>
    </row>
    <row r="288" spans="1:23" x14ac:dyDescent="0.35">
      <c r="A288" s="19" t="str">
        <f t="shared" si="12"/>
        <v/>
      </c>
      <c r="B288" s="20"/>
      <c r="C288" s="20"/>
      <c r="S288" s="21"/>
      <c r="T288" s="21"/>
      <c r="U288" s="21"/>
      <c r="V288" s="22" t="str">
        <f t="shared" si="13"/>
        <v/>
      </c>
      <c r="W288" s="23" t="str">
        <f t="shared" si="14"/>
        <v/>
      </c>
    </row>
    <row r="289" spans="1:23" x14ac:dyDescent="0.35">
      <c r="A289" s="19" t="str">
        <f t="shared" si="12"/>
        <v/>
      </c>
      <c r="B289" s="20"/>
      <c r="C289" s="20"/>
      <c r="S289" s="21"/>
      <c r="T289" s="21"/>
      <c r="U289" s="21"/>
      <c r="V289" s="22" t="str">
        <f t="shared" si="13"/>
        <v/>
      </c>
      <c r="W289" s="23" t="str">
        <f t="shared" si="14"/>
        <v/>
      </c>
    </row>
    <row r="290" spans="1:23" x14ac:dyDescent="0.35">
      <c r="A290" s="19" t="str">
        <f t="shared" si="12"/>
        <v/>
      </c>
      <c r="B290" s="20"/>
      <c r="C290" s="20"/>
      <c r="S290" s="21"/>
      <c r="T290" s="21"/>
      <c r="U290" s="21"/>
      <c r="V290" s="22" t="str">
        <f t="shared" si="13"/>
        <v/>
      </c>
      <c r="W290" s="23" t="str">
        <f t="shared" si="14"/>
        <v/>
      </c>
    </row>
    <row r="291" spans="1:23" x14ac:dyDescent="0.35">
      <c r="A291" s="19" t="str">
        <f t="shared" si="12"/>
        <v/>
      </c>
      <c r="B291" s="20"/>
      <c r="C291" s="20"/>
      <c r="S291" s="21"/>
      <c r="T291" s="21"/>
      <c r="U291" s="21"/>
      <c r="V291" s="22" t="str">
        <f t="shared" si="13"/>
        <v/>
      </c>
      <c r="W291" s="23" t="str">
        <f t="shared" si="14"/>
        <v/>
      </c>
    </row>
    <row r="292" spans="1:23" x14ac:dyDescent="0.35">
      <c r="A292" s="19" t="str">
        <f t="shared" si="12"/>
        <v/>
      </c>
      <c r="B292" s="20"/>
      <c r="C292" s="20"/>
      <c r="S292" s="21"/>
      <c r="T292" s="21"/>
      <c r="U292" s="21"/>
      <c r="V292" s="22" t="str">
        <f t="shared" si="13"/>
        <v/>
      </c>
      <c r="W292" s="23" t="str">
        <f t="shared" si="14"/>
        <v/>
      </c>
    </row>
    <row r="293" spans="1:23" x14ac:dyDescent="0.35">
      <c r="A293" s="19" t="str">
        <f t="shared" si="12"/>
        <v/>
      </c>
      <c r="B293" s="20"/>
      <c r="C293" s="20"/>
      <c r="S293" s="21"/>
      <c r="T293" s="21"/>
      <c r="U293" s="21"/>
      <c r="V293" s="22" t="str">
        <f t="shared" si="13"/>
        <v/>
      </c>
      <c r="W293" s="23" t="str">
        <f t="shared" si="14"/>
        <v/>
      </c>
    </row>
    <row r="294" spans="1:23" x14ac:dyDescent="0.35">
      <c r="A294" s="19" t="str">
        <f t="shared" si="12"/>
        <v/>
      </c>
      <c r="B294" s="20"/>
      <c r="C294" s="20"/>
      <c r="S294" s="21"/>
      <c r="T294" s="21"/>
      <c r="U294" s="21"/>
      <c r="V294" s="22" t="str">
        <f t="shared" si="13"/>
        <v/>
      </c>
      <c r="W294" s="23" t="str">
        <f t="shared" si="14"/>
        <v/>
      </c>
    </row>
    <row r="295" spans="1:23" x14ac:dyDescent="0.35">
      <c r="A295" s="19" t="str">
        <f t="shared" si="12"/>
        <v/>
      </c>
      <c r="B295" s="20"/>
      <c r="C295" s="20"/>
      <c r="S295" s="21"/>
      <c r="T295" s="21"/>
      <c r="U295" s="21"/>
      <c r="V295" s="22" t="str">
        <f t="shared" si="13"/>
        <v/>
      </c>
      <c r="W295" s="23" t="str">
        <f t="shared" si="14"/>
        <v/>
      </c>
    </row>
    <row r="296" spans="1:23" x14ac:dyDescent="0.35">
      <c r="A296" s="19" t="str">
        <f t="shared" si="12"/>
        <v/>
      </c>
      <c r="B296" s="20"/>
      <c r="C296" s="20"/>
      <c r="S296" s="21"/>
      <c r="T296" s="21"/>
      <c r="U296" s="21"/>
      <c r="V296" s="22" t="str">
        <f t="shared" si="13"/>
        <v/>
      </c>
      <c r="W296" s="23" t="str">
        <f t="shared" si="14"/>
        <v/>
      </c>
    </row>
    <row r="297" spans="1:23" x14ac:dyDescent="0.35">
      <c r="A297" s="19" t="str">
        <f t="shared" si="12"/>
        <v/>
      </c>
      <c r="B297" s="20"/>
      <c r="C297" s="20"/>
      <c r="S297" s="21"/>
      <c r="T297" s="21"/>
      <c r="U297" s="21"/>
      <c r="V297" s="22" t="str">
        <f t="shared" si="13"/>
        <v/>
      </c>
      <c r="W297" s="23" t="str">
        <f t="shared" si="14"/>
        <v/>
      </c>
    </row>
    <row r="298" spans="1:23" x14ac:dyDescent="0.35">
      <c r="A298" s="19" t="str">
        <f t="shared" si="12"/>
        <v/>
      </c>
      <c r="B298" s="20"/>
      <c r="C298" s="20"/>
      <c r="S298" s="21"/>
      <c r="T298" s="21"/>
      <c r="U298" s="21"/>
      <c r="V298" s="22" t="str">
        <f t="shared" si="13"/>
        <v/>
      </c>
      <c r="W298" s="23" t="str">
        <f t="shared" si="14"/>
        <v/>
      </c>
    </row>
    <row r="299" spans="1:23" x14ac:dyDescent="0.35">
      <c r="A299" s="19" t="str">
        <f t="shared" si="12"/>
        <v/>
      </c>
      <c r="B299" s="20"/>
      <c r="C299" s="20"/>
      <c r="S299" s="21"/>
      <c r="T299" s="21"/>
      <c r="U299" s="21"/>
      <c r="V299" s="22" t="str">
        <f t="shared" si="13"/>
        <v/>
      </c>
      <c r="W299" s="23" t="str">
        <f t="shared" si="14"/>
        <v/>
      </c>
    </row>
    <row r="300" spans="1:23" x14ac:dyDescent="0.35">
      <c r="A300" s="19" t="str">
        <f t="shared" si="12"/>
        <v/>
      </c>
      <c r="B300" s="20"/>
      <c r="C300" s="20"/>
      <c r="S300" s="21"/>
      <c r="T300" s="21"/>
      <c r="U300" s="21"/>
      <c r="V300" s="22" t="str">
        <f t="shared" si="13"/>
        <v/>
      </c>
      <c r="W300" s="23" t="str">
        <f t="shared" si="14"/>
        <v/>
      </c>
    </row>
    <row r="301" spans="1:23" x14ac:dyDescent="0.35">
      <c r="A301" s="19" t="str">
        <f t="shared" si="12"/>
        <v/>
      </c>
      <c r="B301" s="20"/>
      <c r="C301" s="20"/>
      <c r="S301" s="21"/>
      <c r="T301" s="21"/>
      <c r="U301" s="21"/>
      <c r="V301" s="22" t="str">
        <f t="shared" si="13"/>
        <v/>
      </c>
      <c r="W301" s="23" t="str">
        <f t="shared" si="14"/>
        <v/>
      </c>
    </row>
    <row r="302" spans="1:23" x14ac:dyDescent="0.35">
      <c r="A302" s="19" t="str">
        <f t="shared" si="12"/>
        <v/>
      </c>
      <c r="B302" s="20"/>
      <c r="C302" s="20"/>
      <c r="S302" s="21"/>
      <c r="T302" s="21"/>
      <c r="U302" s="21"/>
      <c r="V302" s="22" t="str">
        <f t="shared" si="13"/>
        <v/>
      </c>
      <c r="W302" s="23" t="str">
        <f t="shared" si="14"/>
        <v/>
      </c>
    </row>
    <row r="303" spans="1:23" x14ac:dyDescent="0.35">
      <c r="A303" s="19" t="str">
        <f t="shared" si="12"/>
        <v/>
      </c>
      <c r="B303" s="20"/>
      <c r="C303" s="20"/>
      <c r="S303" s="21"/>
      <c r="T303" s="21"/>
      <c r="U303" s="21"/>
      <c r="V303" s="22" t="str">
        <f t="shared" si="13"/>
        <v/>
      </c>
      <c r="W303" s="23" t="str">
        <f t="shared" si="14"/>
        <v/>
      </c>
    </row>
    <row r="304" spans="1:23" x14ac:dyDescent="0.35">
      <c r="A304" s="19" t="str">
        <f t="shared" si="12"/>
        <v/>
      </c>
      <c r="B304" s="20"/>
      <c r="C304" s="20"/>
      <c r="S304" s="21"/>
      <c r="T304" s="21"/>
      <c r="U304" s="21"/>
      <c r="V304" s="22" t="str">
        <f t="shared" si="13"/>
        <v/>
      </c>
      <c r="W304" s="23" t="str">
        <f t="shared" si="14"/>
        <v/>
      </c>
    </row>
    <row r="305" spans="1:23" x14ac:dyDescent="0.35">
      <c r="A305" s="19" t="str">
        <f t="shared" si="12"/>
        <v/>
      </c>
      <c r="B305" s="20"/>
      <c r="C305" s="20"/>
      <c r="S305" s="21"/>
      <c r="T305" s="21"/>
      <c r="U305" s="21"/>
      <c r="V305" s="22" t="str">
        <f t="shared" si="13"/>
        <v/>
      </c>
      <c r="W305" s="23" t="str">
        <f t="shared" si="14"/>
        <v/>
      </c>
    </row>
    <row r="306" spans="1:23" x14ac:dyDescent="0.35">
      <c r="A306" s="19" t="str">
        <f t="shared" si="12"/>
        <v/>
      </c>
      <c r="B306" s="20"/>
      <c r="C306" s="20"/>
      <c r="S306" s="21"/>
      <c r="T306" s="21"/>
      <c r="U306" s="21"/>
      <c r="V306" s="22" t="str">
        <f t="shared" si="13"/>
        <v/>
      </c>
      <c r="W306" s="23" t="str">
        <f t="shared" si="14"/>
        <v/>
      </c>
    </row>
    <row r="307" spans="1:23" x14ac:dyDescent="0.35">
      <c r="A307" s="19" t="str">
        <f t="shared" si="12"/>
        <v/>
      </c>
      <c r="B307" s="20"/>
      <c r="C307" s="20"/>
      <c r="S307" s="21"/>
      <c r="T307" s="21"/>
      <c r="U307" s="21"/>
      <c r="V307" s="22" t="str">
        <f t="shared" si="13"/>
        <v/>
      </c>
      <c r="W307" s="23" t="str">
        <f t="shared" si="14"/>
        <v/>
      </c>
    </row>
    <row r="308" spans="1:23" x14ac:dyDescent="0.35">
      <c r="A308" s="19" t="str">
        <f t="shared" si="12"/>
        <v/>
      </c>
      <c r="B308" s="20"/>
      <c r="C308" s="20"/>
      <c r="S308" s="21"/>
      <c r="T308" s="21"/>
      <c r="U308" s="21"/>
      <c r="V308" s="22" t="str">
        <f t="shared" si="13"/>
        <v/>
      </c>
      <c r="W308" s="23" t="str">
        <f t="shared" si="14"/>
        <v/>
      </c>
    </row>
    <row r="309" spans="1:23" x14ac:dyDescent="0.35">
      <c r="A309" s="19" t="str">
        <f t="shared" si="12"/>
        <v/>
      </c>
      <c r="B309" s="20"/>
      <c r="C309" s="20"/>
      <c r="S309" s="21"/>
      <c r="T309" s="21"/>
      <c r="U309" s="21"/>
      <c r="V309" s="22" t="str">
        <f t="shared" si="13"/>
        <v/>
      </c>
      <c r="W309" s="23" t="str">
        <f t="shared" si="14"/>
        <v/>
      </c>
    </row>
    <row r="310" spans="1:23" x14ac:dyDescent="0.35">
      <c r="A310" s="19" t="str">
        <f t="shared" si="12"/>
        <v/>
      </c>
      <c r="B310" s="20"/>
      <c r="C310" s="20"/>
      <c r="S310" s="21"/>
      <c r="T310" s="21"/>
      <c r="U310" s="21"/>
      <c r="V310" s="22" t="str">
        <f t="shared" si="13"/>
        <v/>
      </c>
      <c r="W310" s="23" t="str">
        <f t="shared" si="14"/>
        <v/>
      </c>
    </row>
    <row r="311" spans="1:23" x14ac:dyDescent="0.35">
      <c r="A311" s="19" t="str">
        <f t="shared" si="12"/>
        <v/>
      </c>
      <c r="B311" s="20"/>
      <c r="C311" s="20"/>
      <c r="S311" s="21"/>
      <c r="T311" s="21"/>
      <c r="U311" s="21"/>
      <c r="V311" s="22" t="str">
        <f t="shared" si="13"/>
        <v/>
      </c>
      <c r="W311" s="23" t="str">
        <f t="shared" si="14"/>
        <v/>
      </c>
    </row>
    <row r="312" spans="1:23" x14ac:dyDescent="0.35">
      <c r="A312" s="19" t="str">
        <f t="shared" si="12"/>
        <v/>
      </c>
      <c r="B312" s="20"/>
      <c r="C312" s="20"/>
      <c r="S312" s="21"/>
      <c r="T312" s="21"/>
      <c r="U312" s="21"/>
      <c r="V312" s="22" t="str">
        <f t="shared" si="13"/>
        <v/>
      </c>
      <c r="W312" s="23" t="str">
        <f t="shared" si="14"/>
        <v/>
      </c>
    </row>
    <row r="313" spans="1:23" x14ac:dyDescent="0.35">
      <c r="A313" s="19" t="str">
        <f t="shared" si="12"/>
        <v/>
      </c>
      <c r="B313" s="20"/>
      <c r="C313" s="20"/>
      <c r="S313" s="21"/>
      <c r="T313" s="21"/>
      <c r="U313" s="21"/>
      <c r="V313" s="22" t="str">
        <f t="shared" si="13"/>
        <v/>
      </c>
      <c r="W313" s="23" t="str">
        <f t="shared" si="14"/>
        <v/>
      </c>
    </row>
    <row r="314" spans="1:23" x14ac:dyDescent="0.35">
      <c r="A314" s="19" t="str">
        <f t="shared" si="12"/>
        <v/>
      </c>
      <c r="B314" s="20"/>
      <c r="C314" s="20"/>
      <c r="S314" s="21"/>
      <c r="T314" s="21"/>
      <c r="U314" s="21"/>
      <c r="V314" s="22" t="str">
        <f t="shared" si="13"/>
        <v/>
      </c>
      <c r="W314" s="23" t="str">
        <f t="shared" si="14"/>
        <v/>
      </c>
    </row>
    <row r="315" spans="1:23" x14ac:dyDescent="0.35">
      <c r="A315" s="19" t="str">
        <f t="shared" si="12"/>
        <v/>
      </c>
      <c r="B315" s="20"/>
      <c r="C315" s="20"/>
      <c r="S315" s="21"/>
      <c r="T315" s="21"/>
      <c r="U315" s="21"/>
      <c r="V315" s="22" t="str">
        <f t="shared" si="13"/>
        <v/>
      </c>
      <c r="W315" s="23" t="str">
        <f t="shared" si="14"/>
        <v/>
      </c>
    </row>
    <row r="316" spans="1:23" x14ac:dyDescent="0.35">
      <c r="A316" s="19" t="str">
        <f t="shared" si="12"/>
        <v/>
      </c>
      <c r="B316" s="20"/>
      <c r="C316" s="20"/>
      <c r="S316" s="21"/>
      <c r="T316" s="21"/>
      <c r="U316" s="21"/>
      <c r="V316" s="22" t="str">
        <f t="shared" si="13"/>
        <v/>
      </c>
      <c r="W316" s="23" t="str">
        <f t="shared" si="14"/>
        <v/>
      </c>
    </row>
    <row r="317" spans="1:23" x14ac:dyDescent="0.35">
      <c r="A317" s="19" t="str">
        <f t="shared" si="12"/>
        <v/>
      </c>
      <c r="B317" s="20"/>
      <c r="C317" s="20"/>
      <c r="S317" s="21"/>
      <c r="T317" s="21"/>
      <c r="U317" s="21"/>
      <c r="V317" s="22" t="str">
        <f t="shared" si="13"/>
        <v/>
      </c>
      <c r="W317" s="23" t="str">
        <f t="shared" si="14"/>
        <v/>
      </c>
    </row>
    <row r="318" spans="1:23" x14ac:dyDescent="0.35">
      <c r="A318" s="19" t="str">
        <f t="shared" si="12"/>
        <v/>
      </c>
      <c r="B318" s="20"/>
      <c r="C318" s="20"/>
      <c r="S318" s="21"/>
      <c r="T318" s="21"/>
      <c r="U318" s="21"/>
      <c r="V318" s="22" t="str">
        <f t="shared" si="13"/>
        <v/>
      </c>
      <c r="W318" s="23" t="str">
        <f t="shared" si="14"/>
        <v/>
      </c>
    </row>
    <row r="319" spans="1:23" x14ac:dyDescent="0.35">
      <c r="A319" s="19" t="str">
        <f t="shared" si="12"/>
        <v/>
      </c>
      <c r="B319" s="20"/>
      <c r="C319" s="20"/>
      <c r="S319" s="21"/>
      <c r="T319" s="21"/>
      <c r="U319" s="21"/>
      <c r="V319" s="22" t="str">
        <f t="shared" si="13"/>
        <v/>
      </c>
      <c r="W319" s="23" t="str">
        <f t="shared" si="14"/>
        <v/>
      </c>
    </row>
    <row r="320" spans="1:23" x14ac:dyDescent="0.35">
      <c r="A320" s="19" t="str">
        <f t="shared" si="12"/>
        <v/>
      </c>
      <c r="B320" s="20"/>
      <c r="C320" s="20"/>
      <c r="S320" s="21"/>
      <c r="T320" s="21"/>
      <c r="U320" s="21"/>
      <c r="V320" s="22" t="str">
        <f t="shared" si="13"/>
        <v/>
      </c>
      <c r="W320" s="23" t="str">
        <f t="shared" si="14"/>
        <v/>
      </c>
    </row>
    <row r="321" spans="1:23" x14ac:dyDescent="0.35">
      <c r="A321" s="19" t="str">
        <f t="shared" si="12"/>
        <v/>
      </c>
      <c r="B321" s="20"/>
      <c r="C321" s="20"/>
      <c r="S321" s="21"/>
      <c r="T321" s="21"/>
      <c r="U321" s="21"/>
      <c r="V321" s="22" t="str">
        <f t="shared" si="13"/>
        <v/>
      </c>
      <c r="W321" s="23" t="str">
        <f t="shared" si="14"/>
        <v/>
      </c>
    </row>
    <row r="322" spans="1:23" x14ac:dyDescent="0.35">
      <c r="A322" s="19" t="str">
        <f t="shared" ref="A322:A385" si="15">IF($B322="","",Prefixo&amp;"-"&amp;TEXT(ROW()-1,"0000"))</f>
        <v/>
      </c>
      <c r="B322" s="20"/>
      <c r="C322" s="20"/>
      <c r="S322" s="21"/>
      <c r="T322" s="21"/>
      <c r="U322" s="21"/>
      <c r="V322" s="22" t="str">
        <f t="shared" ref="V322:V385" si="16">IF($T322&gt;0,$T322-$U322,"")</f>
        <v/>
      </c>
      <c r="W322" s="23" t="str">
        <f t="shared" ref="W322:W385" si="17">IF($T322&gt;0,($T322-$U322)/$T322,"")</f>
        <v/>
      </c>
    </row>
    <row r="323" spans="1:23" x14ac:dyDescent="0.35">
      <c r="A323" s="19" t="str">
        <f t="shared" si="15"/>
        <v/>
      </c>
      <c r="B323" s="20"/>
      <c r="C323" s="20"/>
      <c r="S323" s="21"/>
      <c r="T323" s="21"/>
      <c r="U323" s="21"/>
      <c r="V323" s="22" t="str">
        <f t="shared" si="16"/>
        <v/>
      </c>
      <c r="W323" s="23" t="str">
        <f t="shared" si="17"/>
        <v/>
      </c>
    </row>
    <row r="324" spans="1:23" x14ac:dyDescent="0.35">
      <c r="A324" s="19" t="str">
        <f t="shared" si="15"/>
        <v/>
      </c>
      <c r="B324" s="20"/>
      <c r="C324" s="20"/>
      <c r="S324" s="21"/>
      <c r="T324" s="21"/>
      <c r="U324" s="21"/>
      <c r="V324" s="22" t="str">
        <f t="shared" si="16"/>
        <v/>
      </c>
      <c r="W324" s="23" t="str">
        <f t="shared" si="17"/>
        <v/>
      </c>
    </row>
    <row r="325" spans="1:23" x14ac:dyDescent="0.35">
      <c r="A325" s="19" t="str">
        <f t="shared" si="15"/>
        <v/>
      </c>
      <c r="B325" s="20"/>
      <c r="C325" s="20"/>
      <c r="S325" s="21"/>
      <c r="T325" s="21"/>
      <c r="U325" s="21"/>
      <c r="V325" s="22" t="str">
        <f t="shared" si="16"/>
        <v/>
      </c>
      <c r="W325" s="23" t="str">
        <f t="shared" si="17"/>
        <v/>
      </c>
    </row>
    <row r="326" spans="1:23" x14ac:dyDescent="0.35">
      <c r="A326" s="19" t="str">
        <f t="shared" si="15"/>
        <v/>
      </c>
      <c r="B326" s="20"/>
      <c r="C326" s="20"/>
      <c r="S326" s="21"/>
      <c r="T326" s="21"/>
      <c r="U326" s="21"/>
      <c r="V326" s="22" t="str">
        <f t="shared" si="16"/>
        <v/>
      </c>
      <c r="W326" s="23" t="str">
        <f t="shared" si="17"/>
        <v/>
      </c>
    </row>
    <row r="327" spans="1:23" x14ac:dyDescent="0.35">
      <c r="A327" s="19" t="str">
        <f t="shared" si="15"/>
        <v/>
      </c>
      <c r="B327" s="20"/>
      <c r="C327" s="20"/>
      <c r="S327" s="21"/>
      <c r="T327" s="21"/>
      <c r="U327" s="21"/>
      <c r="V327" s="22" t="str">
        <f t="shared" si="16"/>
        <v/>
      </c>
      <c r="W327" s="23" t="str">
        <f t="shared" si="17"/>
        <v/>
      </c>
    </row>
    <row r="328" spans="1:23" x14ac:dyDescent="0.35">
      <c r="A328" s="19" t="str">
        <f t="shared" si="15"/>
        <v/>
      </c>
      <c r="B328" s="20"/>
      <c r="C328" s="20"/>
      <c r="S328" s="21"/>
      <c r="T328" s="21"/>
      <c r="U328" s="21"/>
      <c r="V328" s="22" t="str">
        <f t="shared" si="16"/>
        <v/>
      </c>
      <c r="W328" s="23" t="str">
        <f t="shared" si="17"/>
        <v/>
      </c>
    </row>
    <row r="329" spans="1:23" x14ac:dyDescent="0.35">
      <c r="A329" s="19" t="str">
        <f t="shared" si="15"/>
        <v/>
      </c>
      <c r="B329" s="20"/>
      <c r="C329" s="20"/>
      <c r="S329" s="21"/>
      <c r="T329" s="21"/>
      <c r="U329" s="21"/>
      <c r="V329" s="22" t="str">
        <f t="shared" si="16"/>
        <v/>
      </c>
      <c r="W329" s="23" t="str">
        <f t="shared" si="17"/>
        <v/>
      </c>
    </row>
    <row r="330" spans="1:23" x14ac:dyDescent="0.35">
      <c r="A330" s="19" t="str">
        <f t="shared" si="15"/>
        <v/>
      </c>
      <c r="B330" s="20"/>
      <c r="C330" s="20"/>
      <c r="S330" s="21"/>
      <c r="T330" s="21"/>
      <c r="U330" s="21"/>
      <c r="V330" s="22" t="str">
        <f t="shared" si="16"/>
        <v/>
      </c>
      <c r="W330" s="23" t="str">
        <f t="shared" si="17"/>
        <v/>
      </c>
    </row>
    <row r="331" spans="1:23" x14ac:dyDescent="0.35">
      <c r="A331" s="19" t="str">
        <f t="shared" si="15"/>
        <v/>
      </c>
      <c r="B331" s="20"/>
      <c r="C331" s="20"/>
      <c r="S331" s="21"/>
      <c r="T331" s="21"/>
      <c r="U331" s="21"/>
      <c r="V331" s="22" t="str">
        <f t="shared" si="16"/>
        <v/>
      </c>
      <c r="W331" s="23" t="str">
        <f t="shared" si="17"/>
        <v/>
      </c>
    </row>
    <row r="332" spans="1:23" x14ac:dyDescent="0.35">
      <c r="A332" s="19" t="str">
        <f t="shared" si="15"/>
        <v/>
      </c>
      <c r="B332" s="20"/>
      <c r="C332" s="20"/>
      <c r="S332" s="21"/>
      <c r="T332" s="21"/>
      <c r="U332" s="21"/>
      <c r="V332" s="22" t="str">
        <f t="shared" si="16"/>
        <v/>
      </c>
      <c r="W332" s="23" t="str">
        <f t="shared" si="17"/>
        <v/>
      </c>
    </row>
    <row r="333" spans="1:23" x14ac:dyDescent="0.35">
      <c r="A333" s="19" t="str">
        <f t="shared" si="15"/>
        <v/>
      </c>
      <c r="B333" s="20"/>
      <c r="C333" s="20"/>
      <c r="S333" s="21"/>
      <c r="T333" s="21"/>
      <c r="U333" s="21"/>
      <c r="V333" s="22" t="str">
        <f t="shared" si="16"/>
        <v/>
      </c>
      <c r="W333" s="23" t="str">
        <f t="shared" si="17"/>
        <v/>
      </c>
    </row>
    <row r="334" spans="1:23" x14ac:dyDescent="0.35">
      <c r="A334" s="19" t="str">
        <f t="shared" si="15"/>
        <v/>
      </c>
      <c r="B334" s="20"/>
      <c r="C334" s="20"/>
      <c r="S334" s="21"/>
      <c r="T334" s="21"/>
      <c r="U334" s="21"/>
      <c r="V334" s="22" t="str">
        <f t="shared" si="16"/>
        <v/>
      </c>
      <c r="W334" s="23" t="str">
        <f t="shared" si="17"/>
        <v/>
      </c>
    </row>
    <row r="335" spans="1:23" x14ac:dyDescent="0.35">
      <c r="A335" s="19" t="str">
        <f t="shared" si="15"/>
        <v/>
      </c>
      <c r="B335" s="20"/>
      <c r="C335" s="20"/>
      <c r="S335" s="21"/>
      <c r="T335" s="21"/>
      <c r="U335" s="21"/>
      <c r="V335" s="22" t="str">
        <f t="shared" si="16"/>
        <v/>
      </c>
      <c r="W335" s="23" t="str">
        <f t="shared" si="17"/>
        <v/>
      </c>
    </row>
    <row r="336" spans="1:23" x14ac:dyDescent="0.35">
      <c r="A336" s="19" t="str">
        <f t="shared" si="15"/>
        <v/>
      </c>
      <c r="B336" s="20"/>
      <c r="C336" s="20"/>
      <c r="S336" s="21"/>
      <c r="T336" s="21"/>
      <c r="U336" s="21"/>
      <c r="V336" s="22" t="str">
        <f t="shared" si="16"/>
        <v/>
      </c>
      <c r="W336" s="23" t="str">
        <f t="shared" si="17"/>
        <v/>
      </c>
    </row>
    <row r="337" spans="1:23" x14ac:dyDescent="0.35">
      <c r="A337" s="19" t="str">
        <f t="shared" si="15"/>
        <v/>
      </c>
      <c r="B337" s="20"/>
      <c r="C337" s="20"/>
      <c r="S337" s="21"/>
      <c r="T337" s="21"/>
      <c r="U337" s="21"/>
      <c r="V337" s="22" t="str">
        <f t="shared" si="16"/>
        <v/>
      </c>
      <c r="W337" s="23" t="str">
        <f t="shared" si="17"/>
        <v/>
      </c>
    </row>
    <row r="338" spans="1:23" x14ac:dyDescent="0.35">
      <c r="A338" s="19" t="str">
        <f t="shared" si="15"/>
        <v/>
      </c>
      <c r="B338" s="20"/>
      <c r="C338" s="20"/>
      <c r="S338" s="21"/>
      <c r="T338" s="21"/>
      <c r="U338" s="21"/>
      <c r="V338" s="22" t="str">
        <f t="shared" si="16"/>
        <v/>
      </c>
      <c r="W338" s="23" t="str">
        <f t="shared" si="17"/>
        <v/>
      </c>
    </row>
    <row r="339" spans="1:23" x14ac:dyDescent="0.35">
      <c r="A339" s="19" t="str">
        <f t="shared" si="15"/>
        <v/>
      </c>
      <c r="B339" s="20"/>
      <c r="C339" s="20"/>
      <c r="S339" s="21"/>
      <c r="T339" s="21"/>
      <c r="U339" s="21"/>
      <c r="V339" s="22" t="str">
        <f t="shared" si="16"/>
        <v/>
      </c>
      <c r="W339" s="23" t="str">
        <f t="shared" si="17"/>
        <v/>
      </c>
    </row>
    <row r="340" spans="1:23" x14ac:dyDescent="0.35">
      <c r="A340" s="19" t="str">
        <f t="shared" si="15"/>
        <v/>
      </c>
      <c r="B340" s="20"/>
      <c r="C340" s="20"/>
      <c r="S340" s="21"/>
      <c r="T340" s="21"/>
      <c r="U340" s="21"/>
      <c r="V340" s="22" t="str">
        <f t="shared" si="16"/>
        <v/>
      </c>
      <c r="W340" s="23" t="str">
        <f t="shared" si="17"/>
        <v/>
      </c>
    </row>
    <row r="341" spans="1:23" x14ac:dyDescent="0.35">
      <c r="A341" s="19" t="str">
        <f t="shared" si="15"/>
        <v/>
      </c>
      <c r="B341" s="20"/>
      <c r="C341" s="20"/>
      <c r="S341" s="21"/>
      <c r="T341" s="21"/>
      <c r="U341" s="21"/>
      <c r="V341" s="22" t="str">
        <f t="shared" si="16"/>
        <v/>
      </c>
      <c r="W341" s="23" t="str">
        <f t="shared" si="17"/>
        <v/>
      </c>
    </row>
    <row r="342" spans="1:23" x14ac:dyDescent="0.35">
      <c r="A342" s="19" t="str">
        <f t="shared" si="15"/>
        <v/>
      </c>
      <c r="B342" s="20"/>
      <c r="C342" s="20"/>
      <c r="S342" s="21"/>
      <c r="T342" s="21"/>
      <c r="U342" s="21"/>
      <c r="V342" s="22" t="str">
        <f t="shared" si="16"/>
        <v/>
      </c>
      <c r="W342" s="23" t="str">
        <f t="shared" si="17"/>
        <v/>
      </c>
    </row>
    <row r="343" spans="1:23" x14ac:dyDescent="0.35">
      <c r="A343" s="19" t="str">
        <f t="shared" si="15"/>
        <v/>
      </c>
      <c r="B343" s="20"/>
      <c r="C343" s="20"/>
      <c r="S343" s="21"/>
      <c r="T343" s="21"/>
      <c r="U343" s="21"/>
      <c r="V343" s="22" t="str">
        <f t="shared" si="16"/>
        <v/>
      </c>
      <c r="W343" s="23" t="str">
        <f t="shared" si="17"/>
        <v/>
      </c>
    </row>
    <row r="344" spans="1:23" x14ac:dyDescent="0.35">
      <c r="A344" s="19" t="str">
        <f t="shared" si="15"/>
        <v/>
      </c>
      <c r="B344" s="20"/>
      <c r="C344" s="20"/>
      <c r="S344" s="21"/>
      <c r="T344" s="21"/>
      <c r="U344" s="21"/>
      <c r="V344" s="22" t="str">
        <f t="shared" si="16"/>
        <v/>
      </c>
      <c r="W344" s="23" t="str">
        <f t="shared" si="17"/>
        <v/>
      </c>
    </row>
    <row r="345" spans="1:23" x14ac:dyDescent="0.35">
      <c r="A345" s="19" t="str">
        <f t="shared" si="15"/>
        <v/>
      </c>
      <c r="B345" s="20"/>
      <c r="C345" s="20"/>
      <c r="S345" s="21"/>
      <c r="T345" s="21"/>
      <c r="U345" s="21"/>
      <c r="V345" s="22" t="str">
        <f t="shared" si="16"/>
        <v/>
      </c>
      <c r="W345" s="23" t="str">
        <f t="shared" si="17"/>
        <v/>
      </c>
    </row>
    <row r="346" spans="1:23" x14ac:dyDescent="0.35">
      <c r="A346" s="19" t="str">
        <f t="shared" si="15"/>
        <v/>
      </c>
      <c r="B346" s="20"/>
      <c r="C346" s="20"/>
      <c r="S346" s="21"/>
      <c r="T346" s="21"/>
      <c r="U346" s="21"/>
      <c r="V346" s="22" t="str">
        <f t="shared" si="16"/>
        <v/>
      </c>
      <c r="W346" s="23" t="str">
        <f t="shared" si="17"/>
        <v/>
      </c>
    </row>
    <row r="347" spans="1:23" x14ac:dyDescent="0.35">
      <c r="A347" s="19" t="str">
        <f t="shared" si="15"/>
        <v/>
      </c>
      <c r="B347" s="20"/>
      <c r="C347" s="20"/>
      <c r="S347" s="21"/>
      <c r="T347" s="21"/>
      <c r="U347" s="21"/>
      <c r="V347" s="22" t="str">
        <f t="shared" si="16"/>
        <v/>
      </c>
      <c r="W347" s="23" t="str">
        <f t="shared" si="17"/>
        <v/>
      </c>
    </row>
    <row r="348" spans="1:23" x14ac:dyDescent="0.35">
      <c r="A348" s="19" t="str">
        <f t="shared" si="15"/>
        <v/>
      </c>
      <c r="B348" s="20"/>
      <c r="C348" s="20"/>
      <c r="S348" s="21"/>
      <c r="T348" s="21"/>
      <c r="U348" s="21"/>
      <c r="V348" s="22" t="str">
        <f t="shared" si="16"/>
        <v/>
      </c>
      <c r="W348" s="23" t="str">
        <f t="shared" si="17"/>
        <v/>
      </c>
    </row>
    <row r="349" spans="1:23" x14ac:dyDescent="0.35">
      <c r="A349" s="19" t="str">
        <f t="shared" si="15"/>
        <v/>
      </c>
      <c r="B349" s="20"/>
      <c r="C349" s="20"/>
      <c r="S349" s="21"/>
      <c r="T349" s="21"/>
      <c r="U349" s="21"/>
      <c r="V349" s="22" t="str">
        <f t="shared" si="16"/>
        <v/>
      </c>
      <c r="W349" s="23" t="str">
        <f t="shared" si="17"/>
        <v/>
      </c>
    </row>
    <row r="350" spans="1:23" x14ac:dyDescent="0.35">
      <c r="A350" s="19" t="str">
        <f t="shared" si="15"/>
        <v/>
      </c>
      <c r="B350" s="20"/>
      <c r="C350" s="20"/>
      <c r="S350" s="21"/>
      <c r="T350" s="21"/>
      <c r="U350" s="21"/>
      <c r="V350" s="22" t="str">
        <f t="shared" si="16"/>
        <v/>
      </c>
      <c r="W350" s="23" t="str">
        <f t="shared" si="17"/>
        <v/>
      </c>
    </row>
    <row r="351" spans="1:23" x14ac:dyDescent="0.35">
      <c r="A351" s="19" t="str">
        <f t="shared" si="15"/>
        <v/>
      </c>
      <c r="B351" s="20"/>
      <c r="C351" s="20"/>
      <c r="S351" s="21"/>
      <c r="T351" s="21"/>
      <c r="U351" s="21"/>
      <c r="V351" s="22" t="str">
        <f t="shared" si="16"/>
        <v/>
      </c>
      <c r="W351" s="23" t="str">
        <f t="shared" si="17"/>
        <v/>
      </c>
    </row>
    <row r="352" spans="1:23" x14ac:dyDescent="0.35">
      <c r="A352" s="19" t="str">
        <f t="shared" si="15"/>
        <v/>
      </c>
      <c r="B352" s="20"/>
      <c r="C352" s="20"/>
      <c r="S352" s="21"/>
      <c r="T352" s="21"/>
      <c r="U352" s="21"/>
      <c r="V352" s="22" t="str">
        <f t="shared" si="16"/>
        <v/>
      </c>
      <c r="W352" s="23" t="str">
        <f t="shared" si="17"/>
        <v/>
      </c>
    </row>
    <row r="353" spans="1:23" x14ac:dyDescent="0.35">
      <c r="A353" s="19" t="str">
        <f t="shared" si="15"/>
        <v/>
      </c>
      <c r="B353" s="20"/>
      <c r="C353" s="20"/>
      <c r="S353" s="21"/>
      <c r="T353" s="21"/>
      <c r="U353" s="21"/>
      <c r="V353" s="22" t="str">
        <f t="shared" si="16"/>
        <v/>
      </c>
      <c r="W353" s="23" t="str">
        <f t="shared" si="17"/>
        <v/>
      </c>
    </row>
    <row r="354" spans="1:23" x14ac:dyDescent="0.35">
      <c r="A354" s="19" t="str">
        <f t="shared" si="15"/>
        <v/>
      </c>
      <c r="B354" s="20"/>
      <c r="C354" s="20"/>
      <c r="S354" s="21"/>
      <c r="T354" s="21"/>
      <c r="U354" s="21"/>
      <c r="V354" s="22" t="str">
        <f t="shared" si="16"/>
        <v/>
      </c>
      <c r="W354" s="23" t="str">
        <f t="shared" si="17"/>
        <v/>
      </c>
    </row>
    <row r="355" spans="1:23" x14ac:dyDescent="0.35">
      <c r="A355" s="19" t="str">
        <f t="shared" si="15"/>
        <v/>
      </c>
      <c r="B355" s="20"/>
      <c r="C355" s="20"/>
      <c r="S355" s="21"/>
      <c r="T355" s="21"/>
      <c r="U355" s="21"/>
      <c r="V355" s="22" t="str">
        <f t="shared" si="16"/>
        <v/>
      </c>
      <c r="W355" s="23" t="str">
        <f t="shared" si="17"/>
        <v/>
      </c>
    </row>
    <row r="356" spans="1:23" x14ac:dyDescent="0.35">
      <c r="A356" s="19" t="str">
        <f t="shared" si="15"/>
        <v/>
      </c>
      <c r="B356" s="20"/>
      <c r="C356" s="20"/>
      <c r="S356" s="21"/>
      <c r="T356" s="21"/>
      <c r="U356" s="21"/>
      <c r="V356" s="22" t="str">
        <f t="shared" si="16"/>
        <v/>
      </c>
      <c r="W356" s="23" t="str">
        <f t="shared" si="17"/>
        <v/>
      </c>
    </row>
    <row r="357" spans="1:23" x14ac:dyDescent="0.35">
      <c r="A357" s="19" t="str">
        <f t="shared" si="15"/>
        <v/>
      </c>
      <c r="B357" s="20"/>
      <c r="C357" s="20"/>
      <c r="S357" s="21"/>
      <c r="T357" s="21"/>
      <c r="U357" s="21"/>
      <c r="V357" s="22" t="str">
        <f t="shared" si="16"/>
        <v/>
      </c>
      <c r="W357" s="23" t="str">
        <f t="shared" si="17"/>
        <v/>
      </c>
    </row>
    <row r="358" spans="1:23" x14ac:dyDescent="0.35">
      <c r="A358" s="19" t="str">
        <f t="shared" si="15"/>
        <v/>
      </c>
      <c r="B358" s="20"/>
      <c r="C358" s="20"/>
      <c r="S358" s="21"/>
      <c r="T358" s="21"/>
      <c r="U358" s="21"/>
      <c r="V358" s="22" t="str">
        <f t="shared" si="16"/>
        <v/>
      </c>
      <c r="W358" s="23" t="str">
        <f t="shared" si="17"/>
        <v/>
      </c>
    </row>
    <row r="359" spans="1:23" x14ac:dyDescent="0.35">
      <c r="A359" s="19" t="str">
        <f t="shared" si="15"/>
        <v/>
      </c>
      <c r="B359" s="20"/>
      <c r="C359" s="20"/>
      <c r="S359" s="21"/>
      <c r="T359" s="21"/>
      <c r="U359" s="21"/>
      <c r="V359" s="22" t="str">
        <f t="shared" si="16"/>
        <v/>
      </c>
      <c r="W359" s="23" t="str">
        <f t="shared" si="17"/>
        <v/>
      </c>
    </row>
    <row r="360" spans="1:23" x14ac:dyDescent="0.35">
      <c r="A360" s="19" t="str">
        <f t="shared" si="15"/>
        <v/>
      </c>
      <c r="B360" s="20"/>
      <c r="C360" s="20"/>
      <c r="S360" s="21"/>
      <c r="T360" s="21"/>
      <c r="U360" s="21"/>
      <c r="V360" s="22" t="str">
        <f t="shared" si="16"/>
        <v/>
      </c>
      <c r="W360" s="23" t="str">
        <f t="shared" si="17"/>
        <v/>
      </c>
    </row>
    <row r="361" spans="1:23" x14ac:dyDescent="0.35">
      <c r="A361" s="19" t="str">
        <f t="shared" si="15"/>
        <v/>
      </c>
      <c r="B361" s="20"/>
      <c r="C361" s="20"/>
      <c r="S361" s="21"/>
      <c r="T361" s="21"/>
      <c r="U361" s="21"/>
      <c r="V361" s="22" t="str">
        <f t="shared" si="16"/>
        <v/>
      </c>
      <c r="W361" s="23" t="str">
        <f t="shared" si="17"/>
        <v/>
      </c>
    </row>
    <row r="362" spans="1:23" x14ac:dyDescent="0.35">
      <c r="A362" s="19" t="str">
        <f t="shared" si="15"/>
        <v/>
      </c>
      <c r="B362" s="20"/>
      <c r="C362" s="20"/>
      <c r="S362" s="21"/>
      <c r="T362" s="21"/>
      <c r="U362" s="21"/>
      <c r="V362" s="22" t="str">
        <f t="shared" si="16"/>
        <v/>
      </c>
      <c r="W362" s="23" t="str">
        <f t="shared" si="17"/>
        <v/>
      </c>
    </row>
    <row r="363" spans="1:23" x14ac:dyDescent="0.35">
      <c r="A363" s="19" t="str">
        <f t="shared" si="15"/>
        <v/>
      </c>
      <c r="B363" s="20"/>
      <c r="C363" s="20"/>
      <c r="S363" s="21"/>
      <c r="T363" s="21"/>
      <c r="U363" s="21"/>
      <c r="V363" s="22" t="str">
        <f t="shared" si="16"/>
        <v/>
      </c>
      <c r="W363" s="23" t="str">
        <f t="shared" si="17"/>
        <v/>
      </c>
    </row>
    <row r="364" spans="1:23" x14ac:dyDescent="0.35">
      <c r="A364" s="19" t="str">
        <f t="shared" si="15"/>
        <v/>
      </c>
      <c r="B364" s="20"/>
      <c r="C364" s="20"/>
      <c r="S364" s="21"/>
      <c r="T364" s="21"/>
      <c r="U364" s="21"/>
      <c r="V364" s="22" t="str">
        <f t="shared" si="16"/>
        <v/>
      </c>
      <c r="W364" s="23" t="str">
        <f t="shared" si="17"/>
        <v/>
      </c>
    </row>
    <row r="365" spans="1:23" x14ac:dyDescent="0.35">
      <c r="A365" s="19" t="str">
        <f t="shared" si="15"/>
        <v/>
      </c>
      <c r="B365" s="20"/>
      <c r="C365" s="20"/>
      <c r="S365" s="21"/>
      <c r="T365" s="21"/>
      <c r="U365" s="21"/>
      <c r="V365" s="22" t="str">
        <f t="shared" si="16"/>
        <v/>
      </c>
      <c r="W365" s="23" t="str">
        <f t="shared" si="17"/>
        <v/>
      </c>
    </row>
    <row r="366" spans="1:23" x14ac:dyDescent="0.35">
      <c r="A366" s="19" t="str">
        <f t="shared" si="15"/>
        <v/>
      </c>
      <c r="B366" s="20"/>
      <c r="C366" s="20"/>
      <c r="S366" s="21"/>
      <c r="T366" s="21"/>
      <c r="U366" s="21"/>
      <c r="V366" s="22" t="str">
        <f t="shared" si="16"/>
        <v/>
      </c>
      <c r="W366" s="23" t="str">
        <f t="shared" si="17"/>
        <v/>
      </c>
    </row>
    <row r="367" spans="1:23" x14ac:dyDescent="0.35">
      <c r="A367" s="19" t="str">
        <f t="shared" si="15"/>
        <v/>
      </c>
      <c r="B367" s="20"/>
      <c r="C367" s="20"/>
      <c r="S367" s="21"/>
      <c r="T367" s="21"/>
      <c r="U367" s="21"/>
      <c r="V367" s="22" t="str">
        <f t="shared" si="16"/>
        <v/>
      </c>
      <c r="W367" s="23" t="str">
        <f t="shared" si="17"/>
        <v/>
      </c>
    </row>
    <row r="368" spans="1:23" x14ac:dyDescent="0.35">
      <c r="A368" s="19" t="str">
        <f t="shared" si="15"/>
        <v/>
      </c>
      <c r="B368" s="20"/>
      <c r="C368" s="20"/>
      <c r="S368" s="21"/>
      <c r="T368" s="21"/>
      <c r="U368" s="21"/>
      <c r="V368" s="22" t="str">
        <f t="shared" si="16"/>
        <v/>
      </c>
      <c r="W368" s="23" t="str">
        <f t="shared" si="17"/>
        <v/>
      </c>
    </row>
    <row r="369" spans="1:23" x14ac:dyDescent="0.35">
      <c r="A369" s="19" t="str">
        <f t="shared" si="15"/>
        <v/>
      </c>
      <c r="B369" s="20"/>
      <c r="C369" s="20"/>
      <c r="S369" s="21"/>
      <c r="T369" s="21"/>
      <c r="U369" s="21"/>
      <c r="V369" s="22" t="str">
        <f t="shared" si="16"/>
        <v/>
      </c>
      <c r="W369" s="23" t="str">
        <f t="shared" si="17"/>
        <v/>
      </c>
    </row>
    <row r="370" spans="1:23" x14ac:dyDescent="0.35">
      <c r="A370" s="19" t="str">
        <f t="shared" si="15"/>
        <v/>
      </c>
      <c r="B370" s="20"/>
      <c r="C370" s="20"/>
      <c r="S370" s="21"/>
      <c r="T370" s="21"/>
      <c r="U370" s="21"/>
      <c r="V370" s="22" t="str">
        <f t="shared" si="16"/>
        <v/>
      </c>
      <c r="W370" s="23" t="str">
        <f t="shared" si="17"/>
        <v/>
      </c>
    </row>
    <row r="371" spans="1:23" x14ac:dyDescent="0.35">
      <c r="A371" s="19" t="str">
        <f t="shared" si="15"/>
        <v/>
      </c>
      <c r="B371" s="20"/>
      <c r="C371" s="20"/>
      <c r="S371" s="21"/>
      <c r="T371" s="21"/>
      <c r="U371" s="21"/>
      <c r="V371" s="22" t="str">
        <f t="shared" si="16"/>
        <v/>
      </c>
      <c r="W371" s="23" t="str">
        <f t="shared" si="17"/>
        <v/>
      </c>
    </row>
    <row r="372" spans="1:23" x14ac:dyDescent="0.35">
      <c r="A372" s="19" t="str">
        <f t="shared" si="15"/>
        <v/>
      </c>
      <c r="B372" s="20"/>
      <c r="C372" s="20"/>
      <c r="S372" s="21"/>
      <c r="T372" s="21"/>
      <c r="U372" s="21"/>
      <c r="V372" s="22" t="str">
        <f t="shared" si="16"/>
        <v/>
      </c>
      <c r="W372" s="23" t="str">
        <f t="shared" si="17"/>
        <v/>
      </c>
    </row>
    <row r="373" spans="1:23" x14ac:dyDescent="0.35">
      <c r="A373" s="19" t="str">
        <f t="shared" si="15"/>
        <v/>
      </c>
      <c r="B373" s="20"/>
      <c r="C373" s="20"/>
      <c r="S373" s="21"/>
      <c r="T373" s="21"/>
      <c r="U373" s="21"/>
      <c r="V373" s="22" t="str">
        <f t="shared" si="16"/>
        <v/>
      </c>
      <c r="W373" s="23" t="str">
        <f t="shared" si="17"/>
        <v/>
      </c>
    </row>
    <row r="374" spans="1:23" x14ac:dyDescent="0.35">
      <c r="A374" s="19" t="str">
        <f t="shared" si="15"/>
        <v/>
      </c>
      <c r="B374" s="20"/>
      <c r="C374" s="20"/>
      <c r="S374" s="21"/>
      <c r="T374" s="21"/>
      <c r="U374" s="21"/>
      <c r="V374" s="22" t="str">
        <f t="shared" si="16"/>
        <v/>
      </c>
      <c r="W374" s="23" t="str">
        <f t="shared" si="17"/>
        <v/>
      </c>
    </row>
    <row r="375" spans="1:23" x14ac:dyDescent="0.35">
      <c r="A375" s="19" t="str">
        <f t="shared" si="15"/>
        <v/>
      </c>
      <c r="B375" s="20"/>
      <c r="C375" s="20"/>
      <c r="S375" s="21"/>
      <c r="T375" s="21"/>
      <c r="U375" s="21"/>
      <c r="V375" s="22" t="str">
        <f t="shared" si="16"/>
        <v/>
      </c>
      <c r="W375" s="23" t="str">
        <f t="shared" si="17"/>
        <v/>
      </c>
    </row>
    <row r="376" spans="1:23" x14ac:dyDescent="0.35">
      <c r="A376" s="19" t="str">
        <f t="shared" si="15"/>
        <v/>
      </c>
      <c r="B376" s="20"/>
      <c r="C376" s="20"/>
      <c r="S376" s="21"/>
      <c r="T376" s="21"/>
      <c r="U376" s="21"/>
      <c r="V376" s="22" t="str">
        <f t="shared" si="16"/>
        <v/>
      </c>
      <c r="W376" s="23" t="str">
        <f t="shared" si="17"/>
        <v/>
      </c>
    </row>
    <row r="377" spans="1:23" x14ac:dyDescent="0.35">
      <c r="A377" s="19" t="str">
        <f t="shared" si="15"/>
        <v/>
      </c>
      <c r="B377" s="20"/>
      <c r="C377" s="20"/>
      <c r="S377" s="21"/>
      <c r="T377" s="21"/>
      <c r="U377" s="21"/>
      <c r="V377" s="22" t="str">
        <f t="shared" si="16"/>
        <v/>
      </c>
      <c r="W377" s="23" t="str">
        <f t="shared" si="17"/>
        <v/>
      </c>
    </row>
    <row r="378" spans="1:23" x14ac:dyDescent="0.35">
      <c r="A378" s="19" t="str">
        <f t="shared" si="15"/>
        <v/>
      </c>
      <c r="B378" s="20"/>
      <c r="C378" s="20"/>
      <c r="S378" s="21"/>
      <c r="T378" s="21"/>
      <c r="U378" s="21"/>
      <c r="V378" s="22" t="str">
        <f t="shared" si="16"/>
        <v/>
      </c>
      <c r="W378" s="23" t="str">
        <f t="shared" si="17"/>
        <v/>
      </c>
    </row>
    <row r="379" spans="1:23" x14ac:dyDescent="0.35">
      <c r="A379" s="19" t="str">
        <f t="shared" si="15"/>
        <v/>
      </c>
      <c r="B379" s="20"/>
      <c r="C379" s="20"/>
      <c r="S379" s="21"/>
      <c r="T379" s="21"/>
      <c r="U379" s="21"/>
      <c r="V379" s="22" t="str">
        <f t="shared" si="16"/>
        <v/>
      </c>
      <c r="W379" s="23" t="str">
        <f t="shared" si="17"/>
        <v/>
      </c>
    </row>
    <row r="380" spans="1:23" x14ac:dyDescent="0.35">
      <c r="A380" s="19" t="str">
        <f t="shared" si="15"/>
        <v/>
      </c>
      <c r="B380" s="20"/>
      <c r="C380" s="20"/>
      <c r="S380" s="21"/>
      <c r="T380" s="21"/>
      <c r="U380" s="21"/>
      <c r="V380" s="22" t="str">
        <f t="shared" si="16"/>
        <v/>
      </c>
      <c r="W380" s="23" t="str">
        <f t="shared" si="17"/>
        <v/>
      </c>
    </row>
    <row r="381" spans="1:23" x14ac:dyDescent="0.35">
      <c r="A381" s="19" t="str">
        <f t="shared" si="15"/>
        <v/>
      </c>
      <c r="B381" s="20"/>
      <c r="C381" s="20"/>
      <c r="S381" s="21"/>
      <c r="T381" s="21"/>
      <c r="U381" s="21"/>
      <c r="V381" s="22" t="str">
        <f t="shared" si="16"/>
        <v/>
      </c>
      <c r="W381" s="23" t="str">
        <f t="shared" si="17"/>
        <v/>
      </c>
    </row>
    <row r="382" spans="1:23" x14ac:dyDescent="0.35">
      <c r="A382" s="19" t="str">
        <f t="shared" si="15"/>
        <v/>
      </c>
      <c r="B382" s="20"/>
      <c r="C382" s="20"/>
      <c r="S382" s="21"/>
      <c r="T382" s="21"/>
      <c r="U382" s="21"/>
      <c r="V382" s="22" t="str">
        <f t="shared" si="16"/>
        <v/>
      </c>
      <c r="W382" s="23" t="str">
        <f t="shared" si="17"/>
        <v/>
      </c>
    </row>
    <row r="383" spans="1:23" x14ac:dyDescent="0.35">
      <c r="A383" s="19" t="str">
        <f t="shared" si="15"/>
        <v/>
      </c>
      <c r="B383" s="20"/>
      <c r="C383" s="20"/>
      <c r="S383" s="21"/>
      <c r="T383" s="21"/>
      <c r="U383" s="21"/>
      <c r="V383" s="22" t="str">
        <f t="shared" si="16"/>
        <v/>
      </c>
      <c r="W383" s="23" t="str">
        <f t="shared" si="17"/>
        <v/>
      </c>
    </row>
    <row r="384" spans="1:23" x14ac:dyDescent="0.35">
      <c r="A384" s="19" t="str">
        <f t="shared" si="15"/>
        <v/>
      </c>
      <c r="B384" s="20"/>
      <c r="C384" s="20"/>
      <c r="S384" s="21"/>
      <c r="T384" s="21"/>
      <c r="U384" s="21"/>
      <c r="V384" s="22" t="str">
        <f t="shared" si="16"/>
        <v/>
      </c>
      <c r="W384" s="23" t="str">
        <f t="shared" si="17"/>
        <v/>
      </c>
    </row>
    <row r="385" spans="1:23" x14ac:dyDescent="0.35">
      <c r="A385" s="19" t="str">
        <f t="shared" si="15"/>
        <v/>
      </c>
      <c r="B385" s="20"/>
      <c r="C385" s="20"/>
      <c r="S385" s="21"/>
      <c r="T385" s="21"/>
      <c r="U385" s="21"/>
      <c r="V385" s="22" t="str">
        <f t="shared" si="16"/>
        <v/>
      </c>
      <c r="W385" s="23" t="str">
        <f t="shared" si="17"/>
        <v/>
      </c>
    </row>
    <row r="386" spans="1:23" x14ac:dyDescent="0.35">
      <c r="A386" s="19" t="str">
        <f t="shared" ref="A386:A449" si="18">IF($B386="","",Prefixo&amp;"-"&amp;TEXT(ROW()-1,"0000"))</f>
        <v/>
      </c>
      <c r="B386" s="20"/>
      <c r="C386" s="20"/>
      <c r="S386" s="21"/>
      <c r="T386" s="21"/>
      <c r="U386" s="21"/>
      <c r="V386" s="22" t="str">
        <f t="shared" ref="V386:V449" si="19">IF($T386&gt;0,$T386-$U386,"")</f>
        <v/>
      </c>
      <c r="W386" s="23" t="str">
        <f t="shared" ref="W386:W449" si="20">IF($T386&gt;0,($T386-$U386)/$T386,"")</f>
        <v/>
      </c>
    </row>
    <row r="387" spans="1:23" x14ac:dyDescent="0.35">
      <c r="A387" s="19" t="str">
        <f t="shared" si="18"/>
        <v/>
      </c>
      <c r="B387" s="20"/>
      <c r="C387" s="20"/>
      <c r="S387" s="21"/>
      <c r="T387" s="21"/>
      <c r="U387" s="21"/>
      <c r="V387" s="22" t="str">
        <f t="shared" si="19"/>
        <v/>
      </c>
      <c r="W387" s="23" t="str">
        <f t="shared" si="20"/>
        <v/>
      </c>
    </row>
    <row r="388" spans="1:23" x14ac:dyDescent="0.35">
      <c r="A388" s="19" t="str">
        <f t="shared" si="18"/>
        <v/>
      </c>
      <c r="B388" s="20"/>
      <c r="C388" s="20"/>
      <c r="S388" s="21"/>
      <c r="T388" s="21"/>
      <c r="U388" s="21"/>
      <c r="V388" s="22" t="str">
        <f t="shared" si="19"/>
        <v/>
      </c>
      <c r="W388" s="23" t="str">
        <f t="shared" si="20"/>
        <v/>
      </c>
    </row>
    <row r="389" spans="1:23" x14ac:dyDescent="0.35">
      <c r="A389" s="19" t="str">
        <f t="shared" si="18"/>
        <v/>
      </c>
      <c r="B389" s="20"/>
      <c r="C389" s="20"/>
      <c r="S389" s="21"/>
      <c r="T389" s="21"/>
      <c r="U389" s="21"/>
      <c r="V389" s="22" t="str">
        <f t="shared" si="19"/>
        <v/>
      </c>
      <c r="W389" s="23" t="str">
        <f t="shared" si="20"/>
        <v/>
      </c>
    </row>
    <row r="390" spans="1:23" x14ac:dyDescent="0.35">
      <c r="A390" s="19" t="str">
        <f t="shared" si="18"/>
        <v/>
      </c>
      <c r="B390" s="20"/>
      <c r="C390" s="20"/>
      <c r="S390" s="21"/>
      <c r="T390" s="21"/>
      <c r="U390" s="21"/>
      <c r="V390" s="22" t="str">
        <f t="shared" si="19"/>
        <v/>
      </c>
      <c r="W390" s="23" t="str">
        <f t="shared" si="20"/>
        <v/>
      </c>
    </row>
    <row r="391" spans="1:23" x14ac:dyDescent="0.35">
      <c r="A391" s="19" t="str">
        <f t="shared" si="18"/>
        <v/>
      </c>
      <c r="B391" s="20"/>
      <c r="C391" s="20"/>
      <c r="S391" s="21"/>
      <c r="T391" s="21"/>
      <c r="U391" s="21"/>
      <c r="V391" s="22" t="str">
        <f t="shared" si="19"/>
        <v/>
      </c>
      <c r="W391" s="23" t="str">
        <f t="shared" si="20"/>
        <v/>
      </c>
    </row>
    <row r="392" spans="1:23" x14ac:dyDescent="0.35">
      <c r="A392" s="19" t="str">
        <f t="shared" si="18"/>
        <v/>
      </c>
      <c r="B392" s="20"/>
      <c r="C392" s="20"/>
      <c r="S392" s="21"/>
      <c r="T392" s="21"/>
      <c r="U392" s="21"/>
      <c r="V392" s="22" t="str">
        <f t="shared" si="19"/>
        <v/>
      </c>
      <c r="W392" s="23" t="str">
        <f t="shared" si="20"/>
        <v/>
      </c>
    </row>
    <row r="393" spans="1:23" x14ac:dyDescent="0.35">
      <c r="A393" s="19" t="str">
        <f t="shared" si="18"/>
        <v/>
      </c>
      <c r="B393" s="20"/>
      <c r="C393" s="20"/>
      <c r="S393" s="21"/>
      <c r="T393" s="21"/>
      <c r="U393" s="21"/>
      <c r="V393" s="22" t="str">
        <f t="shared" si="19"/>
        <v/>
      </c>
      <c r="W393" s="23" t="str">
        <f t="shared" si="20"/>
        <v/>
      </c>
    </row>
    <row r="394" spans="1:23" x14ac:dyDescent="0.35">
      <c r="A394" s="19" t="str">
        <f t="shared" si="18"/>
        <v/>
      </c>
      <c r="B394" s="20"/>
      <c r="C394" s="20"/>
      <c r="S394" s="21"/>
      <c r="T394" s="21"/>
      <c r="U394" s="21"/>
      <c r="V394" s="22" t="str">
        <f t="shared" si="19"/>
        <v/>
      </c>
      <c r="W394" s="23" t="str">
        <f t="shared" si="20"/>
        <v/>
      </c>
    </row>
    <row r="395" spans="1:23" x14ac:dyDescent="0.35">
      <c r="A395" s="19" t="str">
        <f t="shared" si="18"/>
        <v/>
      </c>
      <c r="B395" s="20"/>
      <c r="C395" s="20"/>
      <c r="S395" s="21"/>
      <c r="T395" s="21"/>
      <c r="U395" s="21"/>
      <c r="V395" s="22" t="str">
        <f t="shared" si="19"/>
        <v/>
      </c>
      <c r="W395" s="23" t="str">
        <f t="shared" si="20"/>
        <v/>
      </c>
    </row>
    <row r="396" spans="1:23" x14ac:dyDescent="0.35">
      <c r="A396" s="19" t="str">
        <f t="shared" si="18"/>
        <v/>
      </c>
      <c r="B396" s="20"/>
      <c r="C396" s="20"/>
      <c r="S396" s="21"/>
      <c r="T396" s="21"/>
      <c r="U396" s="21"/>
      <c r="V396" s="22" t="str">
        <f t="shared" si="19"/>
        <v/>
      </c>
      <c r="W396" s="23" t="str">
        <f t="shared" si="20"/>
        <v/>
      </c>
    </row>
    <row r="397" spans="1:23" x14ac:dyDescent="0.35">
      <c r="A397" s="19" t="str">
        <f t="shared" si="18"/>
        <v/>
      </c>
      <c r="B397" s="20"/>
      <c r="C397" s="20"/>
      <c r="S397" s="21"/>
      <c r="T397" s="21"/>
      <c r="U397" s="21"/>
      <c r="V397" s="22" t="str">
        <f t="shared" si="19"/>
        <v/>
      </c>
      <c r="W397" s="23" t="str">
        <f t="shared" si="20"/>
        <v/>
      </c>
    </row>
    <row r="398" spans="1:23" x14ac:dyDescent="0.35">
      <c r="A398" s="19" t="str">
        <f t="shared" si="18"/>
        <v/>
      </c>
      <c r="B398" s="20"/>
      <c r="C398" s="20"/>
      <c r="S398" s="21"/>
      <c r="T398" s="21"/>
      <c r="U398" s="21"/>
      <c r="V398" s="22" t="str">
        <f t="shared" si="19"/>
        <v/>
      </c>
      <c r="W398" s="23" t="str">
        <f t="shared" si="20"/>
        <v/>
      </c>
    </row>
    <row r="399" spans="1:23" x14ac:dyDescent="0.35">
      <c r="A399" s="19" t="str">
        <f t="shared" si="18"/>
        <v/>
      </c>
      <c r="B399" s="20"/>
      <c r="C399" s="20"/>
      <c r="S399" s="21"/>
      <c r="T399" s="21"/>
      <c r="U399" s="21"/>
      <c r="V399" s="22" t="str">
        <f t="shared" si="19"/>
        <v/>
      </c>
      <c r="W399" s="23" t="str">
        <f t="shared" si="20"/>
        <v/>
      </c>
    </row>
    <row r="400" spans="1:23" x14ac:dyDescent="0.35">
      <c r="A400" s="19" t="str">
        <f t="shared" si="18"/>
        <v/>
      </c>
      <c r="B400" s="20"/>
      <c r="C400" s="20"/>
      <c r="S400" s="21"/>
      <c r="T400" s="21"/>
      <c r="U400" s="21"/>
      <c r="V400" s="22" t="str">
        <f t="shared" si="19"/>
        <v/>
      </c>
      <c r="W400" s="23" t="str">
        <f t="shared" si="20"/>
        <v/>
      </c>
    </row>
    <row r="401" spans="1:23" x14ac:dyDescent="0.35">
      <c r="A401" s="19" t="str">
        <f t="shared" si="18"/>
        <v/>
      </c>
      <c r="B401" s="20"/>
      <c r="C401" s="20"/>
      <c r="S401" s="21"/>
      <c r="T401" s="21"/>
      <c r="U401" s="21"/>
      <c r="V401" s="22" t="str">
        <f t="shared" si="19"/>
        <v/>
      </c>
      <c r="W401" s="23" t="str">
        <f t="shared" si="20"/>
        <v/>
      </c>
    </row>
    <row r="402" spans="1:23" x14ac:dyDescent="0.35">
      <c r="A402" s="19" t="str">
        <f t="shared" si="18"/>
        <v/>
      </c>
      <c r="B402" s="20"/>
      <c r="C402" s="20"/>
      <c r="S402" s="21"/>
      <c r="T402" s="21"/>
      <c r="U402" s="21"/>
      <c r="V402" s="22" t="str">
        <f t="shared" si="19"/>
        <v/>
      </c>
      <c r="W402" s="23" t="str">
        <f t="shared" si="20"/>
        <v/>
      </c>
    </row>
    <row r="403" spans="1:23" x14ac:dyDescent="0.35">
      <c r="A403" s="19" t="str">
        <f t="shared" si="18"/>
        <v/>
      </c>
      <c r="B403" s="20"/>
      <c r="C403" s="20"/>
      <c r="S403" s="21"/>
      <c r="T403" s="21"/>
      <c r="U403" s="21"/>
      <c r="V403" s="22" t="str">
        <f t="shared" si="19"/>
        <v/>
      </c>
      <c r="W403" s="23" t="str">
        <f t="shared" si="20"/>
        <v/>
      </c>
    </row>
    <row r="404" spans="1:23" x14ac:dyDescent="0.35">
      <c r="A404" s="19" t="str">
        <f t="shared" si="18"/>
        <v/>
      </c>
      <c r="B404" s="20"/>
      <c r="C404" s="20"/>
      <c r="S404" s="21"/>
      <c r="T404" s="21"/>
      <c r="U404" s="21"/>
      <c r="V404" s="22" t="str">
        <f t="shared" si="19"/>
        <v/>
      </c>
      <c r="W404" s="23" t="str">
        <f t="shared" si="20"/>
        <v/>
      </c>
    </row>
    <row r="405" spans="1:23" x14ac:dyDescent="0.35">
      <c r="A405" s="19" t="str">
        <f t="shared" si="18"/>
        <v/>
      </c>
      <c r="B405" s="20"/>
      <c r="C405" s="20"/>
      <c r="S405" s="21"/>
      <c r="T405" s="21"/>
      <c r="U405" s="21"/>
      <c r="V405" s="22" t="str">
        <f t="shared" si="19"/>
        <v/>
      </c>
      <c r="W405" s="23" t="str">
        <f t="shared" si="20"/>
        <v/>
      </c>
    </row>
    <row r="406" spans="1:23" x14ac:dyDescent="0.35">
      <c r="A406" s="19" t="str">
        <f t="shared" si="18"/>
        <v/>
      </c>
      <c r="B406" s="20"/>
      <c r="C406" s="20"/>
      <c r="S406" s="21"/>
      <c r="T406" s="21"/>
      <c r="U406" s="21"/>
      <c r="V406" s="22" t="str">
        <f t="shared" si="19"/>
        <v/>
      </c>
      <c r="W406" s="23" t="str">
        <f t="shared" si="20"/>
        <v/>
      </c>
    </row>
    <row r="407" spans="1:23" x14ac:dyDescent="0.35">
      <c r="A407" s="19" t="str">
        <f t="shared" si="18"/>
        <v/>
      </c>
      <c r="B407" s="20"/>
      <c r="C407" s="20"/>
      <c r="S407" s="21"/>
      <c r="T407" s="21"/>
      <c r="U407" s="21"/>
      <c r="V407" s="22" t="str">
        <f t="shared" si="19"/>
        <v/>
      </c>
      <c r="W407" s="23" t="str">
        <f t="shared" si="20"/>
        <v/>
      </c>
    </row>
    <row r="408" spans="1:23" x14ac:dyDescent="0.35">
      <c r="A408" s="19" t="str">
        <f t="shared" si="18"/>
        <v/>
      </c>
      <c r="B408" s="20"/>
      <c r="C408" s="20"/>
      <c r="S408" s="21"/>
      <c r="T408" s="21"/>
      <c r="U408" s="21"/>
      <c r="V408" s="22" t="str">
        <f t="shared" si="19"/>
        <v/>
      </c>
      <c r="W408" s="23" t="str">
        <f t="shared" si="20"/>
        <v/>
      </c>
    </row>
    <row r="409" spans="1:23" x14ac:dyDescent="0.35">
      <c r="A409" s="19" t="str">
        <f t="shared" si="18"/>
        <v/>
      </c>
      <c r="B409" s="20"/>
      <c r="C409" s="20"/>
      <c r="S409" s="21"/>
      <c r="T409" s="21"/>
      <c r="U409" s="21"/>
      <c r="V409" s="22" t="str">
        <f t="shared" si="19"/>
        <v/>
      </c>
      <c r="W409" s="23" t="str">
        <f t="shared" si="20"/>
        <v/>
      </c>
    </row>
    <row r="410" spans="1:23" x14ac:dyDescent="0.35">
      <c r="A410" s="19" t="str">
        <f t="shared" si="18"/>
        <v/>
      </c>
      <c r="B410" s="20"/>
      <c r="C410" s="20"/>
      <c r="S410" s="21"/>
      <c r="T410" s="21"/>
      <c r="U410" s="21"/>
      <c r="V410" s="22" t="str">
        <f t="shared" si="19"/>
        <v/>
      </c>
      <c r="W410" s="23" t="str">
        <f t="shared" si="20"/>
        <v/>
      </c>
    </row>
    <row r="411" spans="1:23" x14ac:dyDescent="0.35">
      <c r="A411" s="19" t="str">
        <f t="shared" si="18"/>
        <v/>
      </c>
      <c r="B411" s="20"/>
      <c r="C411" s="20"/>
      <c r="S411" s="21"/>
      <c r="T411" s="21"/>
      <c r="U411" s="21"/>
      <c r="V411" s="22" t="str">
        <f t="shared" si="19"/>
        <v/>
      </c>
      <c r="W411" s="23" t="str">
        <f t="shared" si="20"/>
        <v/>
      </c>
    </row>
    <row r="412" spans="1:23" x14ac:dyDescent="0.35">
      <c r="A412" s="19" t="str">
        <f t="shared" si="18"/>
        <v/>
      </c>
      <c r="B412" s="20"/>
      <c r="C412" s="20"/>
      <c r="S412" s="21"/>
      <c r="T412" s="21"/>
      <c r="U412" s="21"/>
      <c r="V412" s="22" t="str">
        <f t="shared" si="19"/>
        <v/>
      </c>
      <c r="W412" s="23" t="str">
        <f t="shared" si="20"/>
        <v/>
      </c>
    </row>
    <row r="413" spans="1:23" x14ac:dyDescent="0.35">
      <c r="A413" s="19" t="str">
        <f t="shared" si="18"/>
        <v/>
      </c>
      <c r="B413" s="20"/>
      <c r="C413" s="20"/>
      <c r="S413" s="21"/>
      <c r="T413" s="21"/>
      <c r="U413" s="21"/>
      <c r="V413" s="22" t="str">
        <f t="shared" si="19"/>
        <v/>
      </c>
      <c r="W413" s="23" t="str">
        <f t="shared" si="20"/>
        <v/>
      </c>
    </row>
    <row r="414" spans="1:23" x14ac:dyDescent="0.35">
      <c r="A414" s="19" t="str">
        <f t="shared" si="18"/>
        <v/>
      </c>
      <c r="B414" s="20"/>
      <c r="C414" s="20"/>
      <c r="S414" s="21"/>
      <c r="T414" s="21"/>
      <c r="U414" s="21"/>
      <c r="V414" s="22" t="str">
        <f t="shared" si="19"/>
        <v/>
      </c>
      <c r="W414" s="23" t="str">
        <f t="shared" si="20"/>
        <v/>
      </c>
    </row>
    <row r="415" spans="1:23" x14ac:dyDescent="0.35">
      <c r="A415" s="19" t="str">
        <f t="shared" si="18"/>
        <v/>
      </c>
      <c r="B415" s="20"/>
      <c r="C415" s="20"/>
      <c r="S415" s="21"/>
      <c r="T415" s="21"/>
      <c r="U415" s="21"/>
      <c r="V415" s="22" t="str">
        <f t="shared" si="19"/>
        <v/>
      </c>
      <c r="W415" s="23" t="str">
        <f t="shared" si="20"/>
        <v/>
      </c>
    </row>
    <row r="416" spans="1:23" x14ac:dyDescent="0.35">
      <c r="A416" s="19" t="str">
        <f t="shared" si="18"/>
        <v/>
      </c>
      <c r="B416" s="20"/>
      <c r="C416" s="20"/>
      <c r="S416" s="21"/>
      <c r="T416" s="21"/>
      <c r="U416" s="21"/>
      <c r="V416" s="22" t="str">
        <f t="shared" si="19"/>
        <v/>
      </c>
      <c r="W416" s="23" t="str">
        <f t="shared" si="20"/>
        <v/>
      </c>
    </row>
    <row r="417" spans="1:23" x14ac:dyDescent="0.35">
      <c r="A417" s="19" t="str">
        <f t="shared" si="18"/>
        <v/>
      </c>
      <c r="B417" s="20"/>
      <c r="C417" s="20"/>
      <c r="S417" s="21"/>
      <c r="T417" s="21"/>
      <c r="U417" s="21"/>
      <c r="V417" s="22" t="str">
        <f t="shared" si="19"/>
        <v/>
      </c>
      <c r="W417" s="23" t="str">
        <f t="shared" si="20"/>
        <v/>
      </c>
    </row>
    <row r="418" spans="1:23" x14ac:dyDescent="0.35">
      <c r="A418" s="19" t="str">
        <f t="shared" si="18"/>
        <v/>
      </c>
      <c r="B418" s="20"/>
      <c r="C418" s="20"/>
      <c r="S418" s="21"/>
      <c r="T418" s="21"/>
      <c r="U418" s="21"/>
      <c r="V418" s="22" t="str">
        <f t="shared" si="19"/>
        <v/>
      </c>
      <c r="W418" s="23" t="str">
        <f t="shared" si="20"/>
        <v/>
      </c>
    </row>
    <row r="419" spans="1:23" x14ac:dyDescent="0.35">
      <c r="A419" s="19" t="str">
        <f t="shared" si="18"/>
        <v/>
      </c>
      <c r="B419" s="20"/>
      <c r="C419" s="20"/>
      <c r="S419" s="21"/>
      <c r="T419" s="21"/>
      <c r="U419" s="21"/>
      <c r="V419" s="22" t="str">
        <f t="shared" si="19"/>
        <v/>
      </c>
      <c r="W419" s="23" t="str">
        <f t="shared" si="20"/>
        <v/>
      </c>
    </row>
    <row r="420" spans="1:23" x14ac:dyDescent="0.35">
      <c r="A420" s="19" t="str">
        <f t="shared" si="18"/>
        <v/>
      </c>
      <c r="B420" s="20"/>
      <c r="C420" s="20"/>
      <c r="S420" s="21"/>
      <c r="T420" s="21"/>
      <c r="U420" s="21"/>
      <c r="V420" s="22" t="str">
        <f t="shared" si="19"/>
        <v/>
      </c>
      <c r="W420" s="23" t="str">
        <f t="shared" si="20"/>
        <v/>
      </c>
    </row>
    <row r="421" spans="1:23" x14ac:dyDescent="0.35">
      <c r="A421" s="19" t="str">
        <f t="shared" si="18"/>
        <v/>
      </c>
      <c r="B421" s="20"/>
      <c r="C421" s="20"/>
      <c r="S421" s="21"/>
      <c r="T421" s="21"/>
      <c r="U421" s="21"/>
      <c r="V421" s="22" t="str">
        <f t="shared" si="19"/>
        <v/>
      </c>
      <c r="W421" s="23" t="str">
        <f t="shared" si="20"/>
        <v/>
      </c>
    </row>
    <row r="422" spans="1:23" x14ac:dyDescent="0.35">
      <c r="A422" s="19" t="str">
        <f t="shared" si="18"/>
        <v/>
      </c>
      <c r="B422" s="20"/>
      <c r="C422" s="20"/>
      <c r="S422" s="21"/>
      <c r="T422" s="21"/>
      <c r="U422" s="21"/>
      <c r="V422" s="22" t="str">
        <f t="shared" si="19"/>
        <v/>
      </c>
      <c r="W422" s="23" t="str">
        <f t="shared" si="20"/>
        <v/>
      </c>
    </row>
    <row r="423" spans="1:23" x14ac:dyDescent="0.35">
      <c r="A423" s="19" t="str">
        <f t="shared" si="18"/>
        <v/>
      </c>
      <c r="B423" s="20"/>
      <c r="C423" s="20"/>
      <c r="S423" s="21"/>
      <c r="T423" s="21"/>
      <c r="U423" s="21"/>
      <c r="V423" s="22" t="str">
        <f t="shared" si="19"/>
        <v/>
      </c>
      <c r="W423" s="23" t="str">
        <f t="shared" si="20"/>
        <v/>
      </c>
    </row>
    <row r="424" spans="1:23" x14ac:dyDescent="0.35">
      <c r="A424" s="19" t="str">
        <f t="shared" si="18"/>
        <v/>
      </c>
      <c r="B424" s="20"/>
      <c r="C424" s="20"/>
      <c r="S424" s="21"/>
      <c r="T424" s="21"/>
      <c r="U424" s="21"/>
      <c r="V424" s="22" t="str">
        <f t="shared" si="19"/>
        <v/>
      </c>
      <c r="W424" s="23" t="str">
        <f t="shared" si="20"/>
        <v/>
      </c>
    </row>
    <row r="425" spans="1:23" x14ac:dyDescent="0.35">
      <c r="A425" s="19" t="str">
        <f t="shared" si="18"/>
        <v/>
      </c>
      <c r="B425" s="20"/>
      <c r="C425" s="20"/>
      <c r="S425" s="21"/>
      <c r="T425" s="21"/>
      <c r="U425" s="21"/>
      <c r="V425" s="22" t="str">
        <f t="shared" si="19"/>
        <v/>
      </c>
      <c r="W425" s="23" t="str">
        <f t="shared" si="20"/>
        <v/>
      </c>
    </row>
    <row r="426" spans="1:23" x14ac:dyDescent="0.35">
      <c r="A426" s="19" t="str">
        <f t="shared" si="18"/>
        <v/>
      </c>
      <c r="B426" s="20"/>
      <c r="C426" s="20"/>
      <c r="S426" s="21"/>
      <c r="T426" s="21"/>
      <c r="U426" s="21"/>
      <c r="V426" s="22" t="str">
        <f t="shared" si="19"/>
        <v/>
      </c>
      <c r="W426" s="23" t="str">
        <f t="shared" si="20"/>
        <v/>
      </c>
    </row>
    <row r="427" spans="1:23" x14ac:dyDescent="0.35">
      <c r="A427" s="19" t="str">
        <f t="shared" si="18"/>
        <v/>
      </c>
      <c r="B427" s="20"/>
      <c r="C427" s="20"/>
      <c r="S427" s="21"/>
      <c r="T427" s="21"/>
      <c r="U427" s="21"/>
      <c r="V427" s="22" t="str">
        <f t="shared" si="19"/>
        <v/>
      </c>
      <c r="W427" s="23" t="str">
        <f t="shared" si="20"/>
        <v/>
      </c>
    </row>
    <row r="428" spans="1:23" x14ac:dyDescent="0.35">
      <c r="A428" s="19" t="str">
        <f t="shared" si="18"/>
        <v/>
      </c>
      <c r="B428" s="20"/>
      <c r="C428" s="20"/>
      <c r="S428" s="21"/>
      <c r="T428" s="21"/>
      <c r="U428" s="21"/>
      <c r="V428" s="22" t="str">
        <f t="shared" si="19"/>
        <v/>
      </c>
      <c r="W428" s="23" t="str">
        <f t="shared" si="20"/>
        <v/>
      </c>
    </row>
    <row r="429" spans="1:23" x14ac:dyDescent="0.35">
      <c r="A429" s="19" t="str">
        <f t="shared" si="18"/>
        <v/>
      </c>
      <c r="B429" s="20"/>
      <c r="C429" s="20"/>
      <c r="S429" s="21"/>
      <c r="T429" s="21"/>
      <c r="U429" s="21"/>
      <c r="V429" s="22" t="str">
        <f t="shared" si="19"/>
        <v/>
      </c>
      <c r="W429" s="23" t="str">
        <f t="shared" si="20"/>
        <v/>
      </c>
    </row>
    <row r="430" spans="1:23" x14ac:dyDescent="0.35">
      <c r="A430" s="19" t="str">
        <f t="shared" si="18"/>
        <v/>
      </c>
      <c r="B430" s="20"/>
      <c r="C430" s="20"/>
      <c r="S430" s="21"/>
      <c r="T430" s="21"/>
      <c r="U430" s="21"/>
      <c r="V430" s="22" t="str">
        <f t="shared" si="19"/>
        <v/>
      </c>
      <c r="W430" s="23" t="str">
        <f t="shared" si="20"/>
        <v/>
      </c>
    </row>
    <row r="431" spans="1:23" x14ac:dyDescent="0.35">
      <c r="A431" s="19" t="str">
        <f t="shared" si="18"/>
        <v/>
      </c>
      <c r="B431" s="20"/>
      <c r="C431" s="20"/>
      <c r="S431" s="21"/>
      <c r="T431" s="21"/>
      <c r="U431" s="21"/>
      <c r="V431" s="22" t="str">
        <f t="shared" si="19"/>
        <v/>
      </c>
      <c r="W431" s="23" t="str">
        <f t="shared" si="20"/>
        <v/>
      </c>
    </row>
    <row r="432" spans="1:23" x14ac:dyDescent="0.35">
      <c r="A432" s="19" t="str">
        <f t="shared" si="18"/>
        <v/>
      </c>
      <c r="B432" s="20"/>
      <c r="C432" s="20"/>
      <c r="S432" s="21"/>
      <c r="T432" s="21"/>
      <c r="U432" s="21"/>
      <c r="V432" s="22" t="str">
        <f t="shared" si="19"/>
        <v/>
      </c>
      <c r="W432" s="23" t="str">
        <f t="shared" si="20"/>
        <v/>
      </c>
    </row>
    <row r="433" spans="1:23" x14ac:dyDescent="0.35">
      <c r="A433" s="19" t="str">
        <f t="shared" si="18"/>
        <v/>
      </c>
      <c r="B433" s="20"/>
      <c r="C433" s="20"/>
      <c r="S433" s="21"/>
      <c r="T433" s="21"/>
      <c r="U433" s="21"/>
      <c r="V433" s="22" t="str">
        <f t="shared" si="19"/>
        <v/>
      </c>
      <c r="W433" s="23" t="str">
        <f t="shared" si="20"/>
        <v/>
      </c>
    </row>
    <row r="434" spans="1:23" x14ac:dyDescent="0.35">
      <c r="A434" s="19" t="str">
        <f t="shared" si="18"/>
        <v/>
      </c>
      <c r="B434" s="20"/>
      <c r="C434" s="20"/>
      <c r="S434" s="21"/>
      <c r="T434" s="21"/>
      <c r="U434" s="21"/>
      <c r="V434" s="22" t="str">
        <f t="shared" si="19"/>
        <v/>
      </c>
      <c r="W434" s="23" t="str">
        <f t="shared" si="20"/>
        <v/>
      </c>
    </row>
    <row r="435" spans="1:23" x14ac:dyDescent="0.35">
      <c r="A435" s="19" t="str">
        <f t="shared" si="18"/>
        <v/>
      </c>
      <c r="B435" s="20"/>
      <c r="C435" s="20"/>
      <c r="S435" s="21"/>
      <c r="T435" s="21"/>
      <c r="U435" s="21"/>
      <c r="V435" s="22" t="str">
        <f t="shared" si="19"/>
        <v/>
      </c>
      <c r="W435" s="23" t="str">
        <f t="shared" si="20"/>
        <v/>
      </c>
    </row>
    <row r="436" spans="1:23" x14ac:dyDescent="0.35">
      <c r="A436" s="19" t="str">
        <f t="shared" si="18"/>
        <v/>
      </c>
      <c r="B436" s="20"/>
      <c r="C436" s="20"/>
      <c r="S436" s="21"/>
      <c r="T436" s="21"/>
      <c r="U436" s="21"/>
      <c r="V436" s="22" t="str">
        <f t="shared" si="19"/>
        <v/>
      </c>
      <c r="W436" s="23" t="str">
        <f t="shared" si="20"/>
        <v/>
      </c>
    </row>
    <row r="437" spans="1:23" x14ac:dyDescent="0.35">
      <c r="A437" s="19" t="str">
        <f t="shared" si="18"/>
        <v/>
      </c>
      <c r="B437" s="20"/>
      <c r="C437" s="20"/>
      <c r="S437" s="21"/>
      <c r="T437" s="21"/>
      <c r="U437" s="21"/>
      <c r="V437" s="22" t="str">
        <f t="shared" si="19"/>
        <v/>
      </c>
      <c r="W437" s="23" t="str">
        <f t="shared" si="20"/>
        <v/>
      </c>
    </row>
    <row r="438" spans="1:23" x14ac:dyDescent="0.35">
      <c r="A438" s="19" t="str">
        <f t="shared" si="18"/>
        <v/>
      </c>
      <c r="B438" s="20"/>
      <c r="C438" s="20"/>
      <c r="S438" s="21"/>
      <c r="T438" s="21"/>
      <c r="U438" s="21"/>
      <c r="V438" s="22" t="str">
        <f t="shared" si="19"/>
        <v/>
      </c>
      <c r="W438" s="23" t="str">
        <f t="shared" si="20"/>
        <v/>
      </c>
    </row>
    <row r="439" spans="1:23" x14ac:dyDescent="0.35">
      <c r="A439" s="19" t="str">
        <f t="shared" si="18"/>
        <v/>
      </c>
      <c r="B439" s="20"/>
      <c r="C439" s="20"/>
      <c r="S439" s="21"/>
      <c r="T439" s="21"/>
      <c r="U439" s="21"/>
      <c r="V439" s="22" t="str">
        <f t="shared" si="19"/>
        <v/>
      </c>
      <c r="W439" s="23" t="str">
        <f t="shared" si="20"/>
        <v/>
      </c>
    </row>
    <row r="440" spans="1:23" x14ac:dyDescent="0.35">
      <c r="A440" s="19" t="str">
        <f t="shared" si="18"/>
        <v/>
      </c>
      <c r="B440" s="20"/>
      <c r="C440" s="20"/>
      <c r="S440" s="21"/>
      <c r="T440" s="21"/>
      <c r="U440" s="21"/>
      <c r="V440" s="22" t="str">
        <f t="shared" si="19"/>
        <v/>
      </c>
      <c r="W440" s="23" t="str">
        <f t="shared" si="20"/>
        <v/>
      </c>
    </row>
    <row r="441" spans="1:23" x14ac:dyDescent="0.35">
      <c r="A441" s="19" t="str">
        <f t="shared" si="18"/>
        <v/>
      </c>
      <c r="B441" s="20"/>
      <c r="C441" s="20"/>
      <c r="S441" s="21"/>
      <c r="T441" s="21"/>
      <c r="U441" s="21"/>
      <c r="V441" s="22" t="str">
        <f t="shared" si="19"/>
        <v/>
      </c>
      <c r="W441" s="23" t="str">
        <f t="shared" si="20"/>
        <v/>
      </c>
    </row>
    <row r="442" spans="1:23" x14ac:dyDescent="0.35">
      <c r="A442" s="19" t="str">
        <f t="shared" si="18"/>
        <v/>
      </c>
      <c r="B442" s="20"/>
      <c r="C442" s="20"/>
      <c r="S442" s="21"/>
      <c r="T442" s="21"/>
      <c r="U442" s="21"/>
      <c r="V442" s="22" t="str">
        <f t="shared" si="19"/>
        <v/>
      </c>
      <c r="W442" s="23" t="str">
        <f t="shared" si="20"/>
        <v/>
      </c>
    </row>
    <row r="443" spans="1:23" x14ac:dyDescent="0.35">
      <c r="A443" s="19" t="str">
        <f t="shared" si="18"/>
        <v/>
      </c>
      <c r="B443" s="20"/>
      <c r="C443" s="20"/>
      <c r="S443" s="21"/>
      <c r="T443" s="21"/>
      <c r="U443" s="21"/>
      <c r="V443" s="22" t="str">
        <f t="shared" si="19"/>
        <v/>
      </c>
      <c r="W443" s="23" t="str">
        <f t="shared" si="20"/>
        <v/>
      </c>
    </row>
    <row r="444" spans="1:23" x14ac:dyDescent="0.35">
      <c r="A444" s="19" t="str">
        <f t="shared" si="18"/>
        <v/>
      </c>
      <c r="B444" s="20"/>
      <c r="C444" s="20"/>
      <c r="S444" s="21"/>
      <c r="T444" s="21"/>
      <c r="U444" s="21"/>
      <c r="V444" s="22" t="str">
        <f t="shared" si="19"/>
        <v/>
      </c>
      <c r="W444" s="23" t="str">
        <f t="shared" si="20"/>
        <v/>
      </c>
    </row>
    <row r="445" spans="1:23" x14ac:dyDescent="0.35">
      <c r="A445" s="19" t="str">
        <f t="shared" si="18"/>
        <v/>
      </c>
      <c r="B445" s="20"/>
      <c r="C445" s="20"/>
      <c r="S445" s="21"/>
      <c r="T445" s="21"/>
      <c r="U445" s="21"/>
      <c r="V445" s="22" t="str">
        <f t="shared" si="19"/>
        <v/>
      </c>
      <c r="W445" s="23" t="str">
        <f t="shared" si="20"/>
        <v/>
      </c>
    </row>
    <row r="446" spans="1:23" x14ac:dyDescent="0.35">
      <c r="A446" s="19" t="str">
        <f t="shared" si="18"/>
        <v/>
      </c>
      <c r="B446" s="20"/>
      <c r="C446" s="20"/>
      <c r="S446" s="21"/>
      <c r="T446" s="21"/>
      <c r="U446" s="21"/>
      <c r="V446" s="22" t="str">
        <f t="shared" si="19"/>
        <v/>
      </c>
      <c r="W446" s="23" t="str">
        <f t="shared" si="20"/>
        <v/>
      </c>
    </row>
    <row r="447" spans="1:23" x14ac:dyDescent="0.35">
      <c r="A447" s="19" t="str">
        <f t="shared" si="18"/>
        <v/>
      </c>
      <c r="B447" s="20"/>
      <c r="C447" s="20"/>
      <c r="S447" s="21"/>
      <c r="T447" s="21"/>
      <c r="U447" s="21"/>
      <c r="V447" s="22" t="str">
        <f t="shared" si="19"/>
        <v/>
      </c>
      <c r="W447" s="23" t="str">
        <f t="shared" si="20"/>
        <v/>
      </c>
    </row>
    <row r="448" spans="1:23" x14ac:dyDescent="0.35">
      <c r="A448" s="19" t="str">
        <f t="shared" si="18"/>
        <v/>
      </c>
      <c r="B448" s="20"/>
      <c r="C448" s="20"/>
      <c r="S448" s="21"/>
      <c r="T448" s="21"/>
      <c r="U448" s="21"/>
      <c r="V448" s="22" t="str">
        <f t="shared" si="19"/>
        <v/>
      </c>
      <c r="W448" s="23" t="str">
        <f t="shared" si="20"/>
        <v/>
      </c>
    </row>
    <row r="449" spans="1:23" x14ac:dyDescent="0.35">
      <c r="A449" s="19" t="str">
        <f t="shared" si="18"/>
        <v/>
      </c>
      <c r="B449" s="20"/>
      <c r="C449" s="20"/>
      <c r="S449" s="21"/>
      <c r="T449" s="21"/>
      <c r="U449" s="21"/>
      <c r="V449" s="22" t="str">
        <f t="shared" si="19"/>
        <v/>
      </c>
      <c r="W449" s="23" t="str">
        <f t="shared" si="20"/>
        <v/>
      </c>
    </row>
    <row r="450" spans="1:23" x14ac:dyDescent="0.35">
      <c r="A450" s="19" t="str">
        <f t="shared" ref="A450:A513" si="21">IF($B450="","",Prefixo&amp;"-"&amp;TEXT(ROW()-1,"0000"))</f>
        <v/>
      </c>
      <c r="B450" s="20"/>
      <c r="C450" s="20"/>
      <c r="S450" s="21"/>
      <c r="T450" s="21"/>
      <c r="U450" s="21"/>
      <c r="V450" s="22" t="str">
        <f t="shared" ref="V450:V513" si="22">IF($T450&gt;0,$T450-$U450,"")</f>
        <v/>
      </c>
      <c r="W450" s="23" t="str">
        <f t="shared" ref="W450:W513" si="23">IF($T450&gt;0,($T450-$U450)/$T450,"")</f>
        <v/>
      </c>
    </row>
    <row r="451" spans="1:23" x14ac:dyDescent="0.35">
      <c r="A451" s="19" t="str">
        <f t="shared" si="21"/>
        <v/>
      </c>
      <c r="B451" s="20"/>
      <c r="C451" s="20"/>
      <c r="S451" s="21"/>
      <c r="T451" s="21"/>
      <c r="U451" s="21"/>
      <c r="V451" s="22" t="str">
        <f t="shared" si="22"/>
        <v/>
      </c>
      <c r="W451" s="23" t="str">
        <f t="shared" si="23"/>
        <v/>
      </c>
    </row>
    <row r="452" spans="1:23" x14ac:dyDescent="0.35">
      <c r="A452" s="19" t="str">
        <f t="shared" si="21"/>
        <v/>
      </c>
      <c r="B452" s="20"/>
      <c r="C452" s="20"/>
      <c r="S452" s="21"/>
      <c r="T452" s="21"/>
      <c r="U452" s="21"/>
      <c r="V452" s="22" t="str">
        <f t="shared" si="22"/>
        <v/>
      </c>
      <c r="W452" s="23" t="str">
        <f t="shared" si="23"/>
        <v/>
      </c>
    </row>
    <row r="453" spans="1:23" x14ac:dyDescent="0.35">
      <c r="A453" s="19" t="str">
        <f t="shared" si="21"/>
        <v/>
      </c>
      <c r="B453" s="20"/>
      <c r="C453" s="20"/>
      <c r="S453" s="21"/>
      <c r="T453" s="21"/>
      <c r="U453" s="21"/>
      <c r="V453" s="22" t="str">
        <f t="shared" si="22"/>
        <v/>
      </c>
      <c r="W453" s="23" t="str">
        <f t="shared" si="23"/>
        <v/>
      </c>
    </row>
    <row r="454" spans="1:23" x14ac:dyDescent="0.35">
      <c r="A454" s="19" t="str">
        <f t="shared" si="21"/>
        <v/>
      </c>
      <c r="B454" s="20"/>
      <c r="C454" s="20"/>
      <c r="S454" s="21"/>
      <c r="T454" s="21"/>
      <c r="U454" s="21"/>
      <c r="V454" s="22" t="str">
        <f t="shared" si="22"/>
        <v/>
      </c>
      <c r="W454" s="23" t="str">
        <f t="shared" si="23"/>
        <v/>
      </c>
    </row>
    <row r="455" spans="1:23" x14ac:dyDescent="0.35">
      <c r="A455" s="19" t="str">
        <f t="shared" si="21"/>
        <v/>
      </c>
      <c r="B455" s="20"/>
      <c r="C455" s="20"/>
      <c r="S455" s="21"/>
      <c r="T455" s="21"/>
      <c r="U455" s="21"/>
      <c r="V455" s="22" t="str">
        <f t="shared" si="22"/>
        <v/>
      </c>
      <c r="W455" s="23" t="str">
        <f t="shared" si="23"/>
        <v/>
      </c>
    </row>
    <row r="456" spans="1:23" x14ac:dyDescent="0.35">
      <c r="A456" s="19" t="str">
        <f t="shared" si="21"/>
        <v/>
      </c>
      <c r="B456" s="20"/>
      <c r="C456" s="20"/>
      <c r="S456" s="21"/>
      <c r="T456" s="21"/>
      <c r="U456" s="21"/>
      <c r="V456" s="22" t="str">
        <f t="shared" si="22"/>
        <v/>
      </c>
      <c r="W456" s="23" t="str">
        <f t="shared" si="23"/>
        <v/>
      </c>
    </row>
    <row r="457" spans="1:23" x14ac:dyDescent="0.35">
      <c r="A457" s="19" t="str">
        <f t="shared" si="21"/>
        <v/>
      </c>
      <c r="B457" s="20"/>
      <c r="C457" s="20"/>
      <c r="S457" s="21"/>
      <c r="T457" s="21"/>
      <c r="U457" s="21"/>
      <c r="V457" s="22" t="str">
        <f t="shared" si="22"/>
        <v/>
      </c>
      <c r="W457" s="23" t="str">
        <f t="shared" si="23"/>
        <v/>
      </c>
    </row>
    <row r="458" spans="1:23" x14ac:dyDescent="0.35">
      <c r="A458" s="19" t="str">
        <f t="shared" si="21"/>
        <v/>
      </c>
      <c r="B458" s="20"/>
      <c r="C458" s="20"/>
      <c r="S458" s="21"/>
      <c r="T458" s="21"/>
      <c r="U458" s="21"/>
      <c r="V458" s="22" t="str">
        <f t="shared" si="22"/>
        <v/>
      </c>
      <c r="W458" s="23" t="str">
        <f t="shared" si="23"/>
        <v/>
      </c>
    </row>
    <row r="459" spans="1:23" x14ac:dyDescent="0.35">
      <c r="A459" s="19" t="str">
        <f t="shared" si="21"/>
        <v/>
      </c>
      <c r="B459" s="20"/>
      <c r="C459" s="20"/>
      <c r="S459" s="21"/>
      <c r="T459" s="21"/>
      <c r="U459" s="21"/>
      <c r="V459" s="22" t="str">
        <f t="shared" si="22"/>
        <v/>
      </c>
      <c r="W459" s="23" t="str">
        <f t="shared" si="23"/>
        <v/>
      </c>
    </row>
    <row r="460" spans="1:23" x14ac:dyDescent="0.35">
      <c r="A460" s="19" t="str">
        <f t="shared" si="21"/>
        <v/>
      </c>
      <c r="B460" s="20"/>
      <c r="C460" s="20"/>
      <c r="S460" s="21"/>
      <c r="T460" s="21"/>
      <c r="U460" s="21"/>
      <c r="V460" s="22" t="str">
        <f t="shared" si="22"/>
        <v/>
      </c>
      <c r="W460" s="23" t="str">
        <f t="shared" si="23"/>
        <v/>
      </c>
    </row>
    <row r="461" spans="1:23" x14ac:dyDescent="0.35">
      <c r="A461" s="19" t="str">
        <f t="shared" si="21"/>
        <v/>
      </c>
      <c r="B461" s="20"/>
      <c r="C461" s="20"/>
      <c r="S461" s="21"/>
      <c r="T461" s="21"/>
      <c r="U461" s="21"/>
      <c r="V461" s="22" t="str">
        <f t="shared" si="22"/>
        <v/>
      </c>
      <c r="W461" s="23" t="str">
        <f t="shared" si="23"/>
        <v/>
      </c>
    </row>
    <row r="462" spans="1:23" x14ac:dyDescent="0.35">
      <c r="A462" s="19" t="str">
        <f t="shared" si="21"/>
        <v/>
      </c>
      <c r="B462" s="20"/>
      <c r="C462" s="20"/>
      <c r="S462" s="21"/>
      <c r="T462" s="21"/>
      <c r="U462" s="21"/>
      <c r="V462" s="22" t="str">
        <f t="shared" si="22"/>
        <v/>
      </c>
      <c r="W462" s="23" t="str">
        <f t="shared" si="23"/>
        <v/>
      </c>
    </row>
    <row r="463" spans="1:23" x14ac:dyDescent="0.35">
      <c r="A463" s="19" t="str">
        <f t="shared" si="21"/>
        <v/>
      </c>
      <c r="B463" s="20"/>
      <c r="C463" s="20"/>
      <c r="S463" s="21"/>
      <c r="T463" s="21"/>
      <c r="U463" s="21"/>
      <c r="V463" s="22" t="str">
        <f t="shared" si="22"/>
        <v/>
      </c>
      <c r="W463" s="23" t="str">
        <f t="shared" si="23"/>
        <v/>
      </c>
    </row>
    <row r="464" spans="1:23" x14ac:dyDescent="0.35">
      <c r="A464" s="19" t="str">
        <f t="shared" si="21"/>
        <v/>
      </c>
      <c r="B464" s="20"/>
      <c r="C464" s="20"/>
      <c r="S464" s="21"/>
      <c r="T464" s="21"/>
      <c r="U464" s="21"/>
      <c r="V464" s="22" t="str">
        <f t="shared" si="22"/>
        <v/>
      </c>
      <c r="W464" s="23" t="str">
        <f t="shared" si="23"/>
        <v/>
      </c>
    </row>
    <row r="465" spans="1:23" x14ac:dyDescent="0.35">
      <c r="A465" s="19" t="str">
        <f t="shared" si="21"/>
        <v/>
      </c>
      <c r="B465" s="20"/>
      <c r="C465" s="20"/>
      <c r="S465" s="21"/>
      <c r="T465" s="21"/>
      <c r="U465" s="21"/>
      <c r="V465" s="22" t="str">
        <f t="shared" si="22"/>
        <v/>
      </c>
      <c r="W465" s="23" t="str">
        <f t="shared" si="23"/>
        <v/>
      </c>
    </row>
    <row r="466" spans="1:23" x14ac:dyDescent="0.35">
      <c r="A466" s="19" t="str">
        <f t="shared" si="21"/>
        <v/>
      </c>
      <c r="B466" s="20"/>
      <c r="C466" s="20"/>
      <c r="S466" s="21"/>
      <c r="T466" s="21"/>
      <c r="U466" s="21"/>
      <c r="V466" s="22" t="str">
        <f t="shared" si="22"/>
        <v/>
      </c>
      <c r="W466" s="23" t="str">
        <f t="shared" si="23"/>
        <v/>
      </c>
    </row>
    <row r="467" spans="1:23" x14ac:dyDescent="0.35">
      <c r="A467" s="19" t="str">
        <f t="shared" si="21"/>
        <v/>
      </c>
      <c r="B467" s="20"/>
      <c r="C467" s="20"/>
      <c r="S467" s="21"/>
      <c r="T467" s="21"/>
      <c r="U467" s="21"/>
      <c r="V467" s="22" t="str">
        <f t="shared" si="22"/>
        <v/>
      </c>
      <c r="W467" s="23" t="str">
        <f t="shared" si="23"/>
        <v/>
      </c>
    </row>
    <row r="468" spans="1:23" x14ac:dyDescent="0.35">
      <c r="A468" s="19" t="str">
        <f t="shared" si="21"/>
        <v/>
      </c>
      <c r="B468" s="20"/>
      <c r="C468" s="20"/>
      <c r="S468" s="21"/>
      <c r="T468" s="21"/>
      <c r="U468" s="21"/>
      <c r="V468" s="22" t="str">
        <f t="shared" si="22"/>
        <v/>
      </c>
      <c r="W468" s="23" t="str">
        <f t="shared" si="23"/>
        <v/>
      </c>
    </row>
    <row r="469" spans="1:23" x14ac:dyDescent="0.35">
      <c r="A469" s="19" t="str">
        <f t="shared" si="21"/>
        <v/>
      </c>
      <c r="B469" s="20"/>
      <c r="C469" s="20"/>
      <c r="S469" s="21"/>
      <c r="T469" s="21"/>
      <c r="U469" s="21"/>
      <c r="V469" s="22" t="str">
        <f t="shared" si="22"/>
        <v/>
      </c>
      <c r="W469" s="23" t="str">
        <f t="shared" si="23"/>
        <v/>
      </c>
    </row>
    <row r="470" spans="1:23" x14ac:dyDescent="0.35">
      <c r="A470" s="19" t="str">
        <f t="shared" si="21"/>
        <v/>
      </c>
      <c r="B470" s="20"/>
      <c r="C470" s="20"/>
      <c r="S470" s="21"/>
      <c r="T470" s="21"/>
      <c r="U470" s="21"/>
      <c r="V470" s="22" t="str">
        <f t="shared" si="22"/>
        <v/>
      </c>
      <c r="W470" s="23" t="str">
        <f t="shared" si="23"/>
        <v/>
      </c>
    </row>
    <row r="471" spans="1:23" x14ac:dyDescent="0.35">
      <c r="A471" s="19" t="str">
        <f t="shared" si="21"/>
        <v/>
      </c>
      <c r="B471" s="20"/>
      <c r="C471" s="20"/>
      <c r="S471" s="21"/>
      <c r="T471" s="21"/>
      <c r="U471" s="21"/>
      <c r="V471" s="22" t="str">
        <f t="shared" si="22"/>
        <v/>
      </c>
      <c r="W471" s="23" t="str">
        <f t="shared" si="23"/>
        <v/>
      </c>
    </row>
    <row r="472" spans="1:23" x14ac:dyDescent="0.35">
      <c r="A472" s="19" t="str">
        <f t="shared" si="21"/>
        <v/>
      </c>
      <c r="B472" s="20"/>
      <c r="C472" s="20"/>
      <c r="S472" s="21"/>
      <c r="T472" s="21"/>
      <c r="U472" s="21"/>
      <c r="V472" s="22" t="str">
        <f t="shared" si="22"/>
        <v/>
      </c>
      <c r="W472" s="23" t="str">
        <f t="shared" si="23"/>
        <v/>
      </c>
    </row>
    <row r="473" spans="1:23" x14ac:dyDescent="0.35">
      <c r="A473" s="19" t="str">
        <f t="shared" si="21"/>
        <v/>
      </c>
      <c r="B473" s="20"/>
      <c r="C473" s="20"/>
      <c r="S473" s="21"/>
      <c r="T473" s="21"/>
      <c r="U473" s="21"/>
      <c r="V473" s="22" t="str">
        <f t="shared" si="22"/>
        <v/>
      </c>
      <c r="W473" s="23" t="str">
        <f t="shared" si="23"/>
        <v/>
      </c>
    </row>
    <row r="474" spans="1:23" x14ac:dyDescent="0.35">
      <c r="A474" s="19" t="str">
        <f t="shared" si="21"/>
        <v/>
      </c>
      <c r="B474" s="20"/>
      <c r="C474" s="20"/>
      <c r="S474" s="21"/>
      <c r="T474" s="21"/>
      <c r="U474" s="21"/>
      <c r="V474" s="22" t="str">
        <f t="shared" si="22"/>
        <v/>
      </c>
      <c r="W474" s="23" t="str">
        <f t="shared" si="23"/>
        <v/>
      </c>
    </row>
    <row r="475" spans="1:23" x14ac:dyDescent="0.35">
      <c r="A475" s="19" t="str">
        <f t="shared" si="21"/>
        <v/>
      </c>
      <c r="B475" s="20"/>
      <c r="C475" s="20"/>
      <c r="S475" s="21"/>
      <c r="T475" s="21"/>
      <c r="U475" s="21"/>
      <c r="V475" s="22" t="str">
        <f t="shared" si="22"/>
        <v/>
      </c>
      <c r="W475" s="23" t="str">
        <f t="shared" si="23"/>
        <v/>
      </c>
    </row>
    <row r="476" spans="1:23" x14ac:dyDescent="0.35">
      <c r="A476" s="19" t="str">
        <f t="shared" si="21"/>
        <v/>
      </c>
      <c r="B476" s="20"/>
      <c r="C476" s="20"/>
      <c r="S476" s="21"/>
      <c r="T476" s="21"/>
      <c r="U476" s="21"/>
      <c r="V476" s="22" t="str">
        <f t="shared" si="22"/>
        <v/>
      </c>
      <c r="W476" s="23" t="str">
        <f t="shared" si="23"/>
        <v/>
      </c>
    </row>
    <row r="477" spans="1:23" x14ac:dyDescent="0.35">
      <c r="A477" s="19" t="str">
        <f t="shared" si="21"/>
        <v/>
      </c>
      <c r="B477" s="20"/>
      <c r="C477" s="20"/>
      <c r="S477" s="21"/>
      <c r="T477" s="21"/>
      <c r="U477" s="21"/>
      <c r="V477" s="22" t="str">
        <f t="shared" si="22"/>
        <v/>
      </c>
      <c r="W477" s="23" t="str">
        <f t="shared" si="23"/>
        <v/>
      </c>
    </row>
    <row r="478" spans="1:23" x14ac:dyDescent="0.35">
      <c r="A478" s="19" t="str">
        <f t="shared" si="21"/>
        <v/>
      </c>
      <c r="B478" s="20"/>
      <c r="C478" s="20"/>
      <c r="S478" s="21"/>
      <c r="T478" s="21"/>
      <c r="U478" s="21"/>
      <c r="V478" s="22" t="str">
        <f t="shared" si="22"/>
        <v/>
      </c>
      <c r="W478" s="23" t="str">
        <f t="shared" si="23"/>
        <v/>
      </c>
    </row>
    <row r="479" spans="1:23" x14ac:dyDescent="0.35">
      <c r="A479" s="19" t="str">
        <f t="shared" si="21"/>
        <v/>
      </c>
      <c r="B479" s="20"/>
      <c r="C479" s="20"/>
      <c r="S479" s="21"/>
      <c r="T479" s="21"/>
      <c r="U479" s="21"/>
      <c r="V479" s="22" t="str">
        <f t="shared" si="22"/>
        <v/>
      </c>
      <c r="W479" s="23" t="str">
        <f t="shared" si="23"/>
        <v/>
      </c>
    </row>
    <row r="480" spans="1:23" x14ac:dyDescent="0.35">
      <c r="A480" s="19" t="str">
        <f t="shared" si="21"/>
        <v/>
      </c>
      <c r="B480" s="20"/>
      <c r="C480" s="20"/>
      <c r="S480" s="21"/>
      <c r="T480" s="21"/>
      <c r="U480" s="21"/>
      <c r="V480" s="22" t="str">
        <f t="shared" si="22"/>
        <v/>
      </c>
      <c r="W480" s="23" t="str">
        <f t="shared" si="23"/>
        <v/>
      </c>
    </row>
    <row r="481" spans="1:23" x14ac:dyDescent="0.35">
      <c r="A481" s="19" t="str">
        <f t="shared" si="21"/>
        <v/>
      </c>
      <c r="B481" s="20"/>
      <c r="C481" s="20"/>
      <c r="S481" s="21"/>
      <c r="T481" s="21"/>
      <c r="U481" s="21"/>
      <c r="V481" s="22" t="str">
        <f t="shared" si="22"/>
        <v/>
      </c>
      <c r="W481" s="23" t="str">
        <f t="shared" si="23"/>
        <v/>
      </c>
    </row>
    <row r="482" spans="1:23" x14ac:dyDescent="0.35">
      <c r="A482" s="19" t="str">
        <f t="shared" si="21"/>
        <v/>
      </c>
      <c r="B482" s="20"/>
      <c r="C482" s="20"/>
      <c r="S482" s="21"/>
      <c r="T482" s="21"/>
      <c r="U482" s="21"/>
      <c r="V482" s="22" t="str">
        <f t="shared" si="22"/>
        <v/>
      </c>
      <c r="W482" s="23" t="str">
        <f t="shared" si="23"/>
        <v/>
      </c>
    </row>
    <row r="483" spans="1:23" x14ac:dyDescent="0.35">
      <c r="A483" s="19" t="str">
        <f t="shared" si="21"/>
        <v/>
      </c>
      <c r="B483" s="20"/>
      <c r="C483" s="20"/>
      <c r="S483" s="21"/>
      <c r="T483" s="21"/>
      <c r="U483" s="21"/>
      <c r="V483" s="22" t="str">
        <f t="shared" si="22"/>
        <v/>
      </c>
      <c r="W483" s="23" t="str">
        <f t="shared" si="23"/>
        <v/>
      </c>
    </row>
    <row r="484" spans="1:23" x14ac:dyDescent="0.35">
      <c r="A484" s="19" t="str">
        <f t="shared" si="21"/>
        <v/>
      </c>
      <c r="B484" s="20"/>
      <c r="C484" s="20"/>
      <c r="S484" s="21"/>
      <c r="T484" s="21"/>
      <c r="U484" s="21"/>
      <c r="V484" s="22" t="str">
        <f t="shared" si="22"/>
        <v/>
      </c>
      <c r="W484" s="23" t="str">
        <f t="shared" si="23"/>
        <v/>
      </c>
    </row>
    <row r="485" spans="1:23" x14ac:dyDescent="0.35">
      <c r="A485" s="19" t="str">
        <f t="shared" si="21"/>
        <v/>
      </c>
      <c r="B485" s="20"/>
      <c r="C485" s="20"/>
      <c r="S485" s="21"/>
      <c r="T485" s="21"/>
      <c r="U485" s="21"/>
      <c r="V485" s="22" t="str">
        <f t="shared" si="22"/>
        <v/>
      </c>
      <c r="W485" s="23" t="str">
        <f t="shared" si="23"/>
        <v/>
      </c>
    </row>
    <row r="486" spans="1:23" x14ac:dyDescent="0.35">
      <c r="A486" s="19" t="str">
        <f t="shared" si="21"/>
        <v/>
      </c>
      <c r="B486" s="20"/>
      <c r="C486" s="20"/>
      <c r="S486" s="21"/>
      <c r="T486" s="21"/>
      <c r="U486" s="21"/>
      <c r="V486" s="22" t="str">
        <f t="shared" si="22"/>
        <v/>
      </c>
      <c r="W486" s="23" t="str">
        <f t="shared" si="23"/>
        <v/>
      </c>
    </row>
    <row r="487" spans="1:23" x14ac:dyDescent="0.35">
      <c r="A487" s="19" t="str">
        <f t="shared" si="21"/>
        <v/>
      </c>
      <c r="B487" s="20"/>
      <c r="C487" s="20"/>
      <c r="S487" s="21"/>
      <c r="T487" s="21"/>
      <c r="U487" s="21"/>
      <c r="V487" s="22" t="str">
        <f t="shared" si="22"/>
        <v/>
      </c>
      <c r="W487" s="23" t="str">
        <f t="shared" si="23"/>
        <v/>
      </c>
    </row>
    <row r="488" spans="1:23" x14ac:dyDescent="0.35">
      <c r="A488" s="19" t="str">
        <f t="shared" si="21"/>
        <v/>
      </c>
      <c r="B488" s="20"/>
      <c r="C488" s="20"/>
      <c r="S488" s="21"/>
      <c r="T488" s="21"/>
      <c r="U488" s="21"/>
      <c r="V488" s="22" t="str">
        <f t="shared" si="22"/>
        <v/>
      </c>
      <c r="W488" s="23" t="str">
        <f t="shared" si="23"/>
        <v/>
      </c>
    </row>
    <row r="489" spans="1:23" x14ac:dyDescent="0.35">
      <c r="A489" s="19" t="str">
        <f t="shared" si="21"/>
        <v/>
      </c>
      <c r="B489" s="20"/>
      <c r="C489" s="20"/>
      <c r="S489" s="21"/>
      <c r="T489" s="21"/>
      <c r="U489" s="21"/>
      <c r="V489" s="22" t="str">
        <f t="shared" si="22"/>
        <v/>
      </c>
      <c r="W489" s="23" t="str">
        <f t="shared" si="23"/>
        <v/>
      </c>
    </row>
    <row r="490" spans="1:23" x14ac:dyDescent="0.35">
      <c r="A490" s="19" t="str">
        <f t="shared" si="21"/>
        <v/>
      </c>
      <c r="B490" s="20"/>
      <c r="C490" s="20"/>
      <c r="S490" s="21"/>
      <c r="T490" s="21"/>
      <c r="U490" s="21"/>
      <c r="V490" s="22" t="str">
        <f t="shared" si="22"/>
        <v/>
      </c>
      <c r="W490" s="23" t="str">
        <f t="shared" si="23"/>
        <v/>
      </c>
    </row>
    <row r="491" spans="1:23" x14ac:dyDescent="0.35">
      <c r="A491" s="19" t="str">
        <f t="shared" si="21"/>
        <v/>
      </c>
      <c r="B491" s="20"/>
      <c r="C491" s="20"/>
      <c r="S491" s="21"/>
      <c r="T491" s="21"/>
      <c r="U491" s="21"/>
      <c r="V491" s="22" t="str">
        <f t="shared" si="22"/>
        <v/>
      </c>
      <c r="W491" s="23" t="str">
        <f t="shared" si="23"/>
        <v/>
      </c>
    </row>
    <row r="492" spans="1:23" x14ac:dyDescent="0.35">
      <c r="A492" s="19" t="str">
        <f t="shared" si="21"/>
        <v/>
      </c>
      <c r="B492" s="20"/>
      <c r="C492" s="20"/>
      <c r="S492" s="21"/>
      <c r="T492" s="21"/>
      <c r="U492" s="21"/>
      <c r="V492" s="22" t="str">
        <f t="shared" si="22"/>
        <v/>
      </c>
      <c r="W492" s="23" t="str">
        <f t="shared" si="23"/>
        <v/>
      </c>
    </row>
    <row r="493" spans="1:23" x14ac:dyDescent="0.35">
      <c r="A493" s="19" t="str">
        <f t="shared" si="21"/>
        <v/>
      </c>
      <c r="B493" s="20"/>
      <c r="C493" s="20"/>
      <c r="S493" s="21"/>
      <c r="T493" s="21"/>
      <c r="U493" s="21"/>
      <c r="V493" s="22" t="str">
        <f t="shared" si="22"/>
        <v/>
      </c>
      <c r="W493" s="23" t="str">
        <f t="shared" si="23"/>
        <v/>
      </c>
    </row>
    <row r="494" spans="1:23" x14ac:dyDescent="0.35">
      <c r="A494" s="19" t="str">
        <f t="shared" si="21"/>
        <v/>
      </c>
      <c r="B494" s="20"/>
      <c r="C494" s="20"/>
      <c r="S494" s="21"/>
      <c r="T494" s="21"/>
      <c r="U494" s="21"/>
      <c r="V494" s="22" t="str">
        <f t="shared" si="22"/>
        <v/>
      </c>
      <c r="W494" s="23" t="str">
        <f t="shared" si="23"/>
        <v/>
      </c>
    </row>
    <row r="495" spans="1:23" x14ac:dyDescent="0.35">
      <c r="A495" s="19" t="str">
        <f t="shared" si="21"/>
        <v/>
      </c>
      <c r="B495" s="20"/>
      <c r="C495" s="20"/>
      <c r="S495" s="21"/>
      <c r="T495" s="21"/>
      <c r="U495" s="21"/>
      <c r="V495" s="22" t="str">
        <f t="shared" si="22"/>
        <v/>
      </c>
      <c r="W495" s="23" t="str">
        <f t="shared" si="23"/>
        <v/>
      </c>
    </row>
    <row r="496" spans="1:23" x14ac:dyDescent="0.35">
      <c r="A496" s="19" t="str">
        <f t="shared" si="21"/>
        <v/>
      </c>
      <c r="B496" s="20"/>
      <c r="C496" s="20"/>
      <c r="S496" s="21"/>
      <c r="T496" s="21"/>
      <c r="U496" s="21"/>
      <c r="V496" s="22" t="str">
        <f t="shared" si="22"/>
        <v/>
      </c>
      <c r="W496" s="23" t="str">
        <f t="shared" si="23"/>
        <v/>
      </c>
    </row>
    <row r="497" spans="1:23" x14ac:dyDescent="0.35">
      <c r="A497" s="19" t="str">
        <f t="shared" si="21"/>
        <v/>
      </c>
      <c r="B497" s="20"/>
      <c r="C497" s="20"/>
      <c r="S497" s="21"/>
      <c r="T497" s="21"/>
      <c r="U497" s="21"/>
      <c r="V497" s="22" t="str">
        <f t="shared" si="22"/>
        <v/>
      </c>
      <c r="W497" s="23" t="str">
        <f t="shared" si="23"/>
        <v/>
      </c>
    </row>
    <row r="498" spans="1:23" x14ac:dyDescent="0.35">
      <c r="A498" s="19" t="str">
        <f t="shared" si="21"/>
        <v/>
      </c>
      <c r="B498" s="20"/>
      <c r="C498" s="20"/>
      <c r="S498" s="21"/>
      <c r="T498" s="21"/>
      <c r="U498" s="21"/>
      <c r="V498" s="22" t="str">
        <f t="shared" si="22"/>
        <v/>
      </c>
      <c r="W498" s="23" t="str">
        <f t="shared" si="23"/>
        <v/>
      </c>
    </row>
    <row r="499" spans="1:23" x14ac:dyDescent="0.35">
      <c r="A499" s="19" t="str">
        <f t="shared" si="21"/>
        <v/>
      </c>
      <c r="B499" s="20"/>
      <c r="C499" s="20"/>
      <c r="S499" s="21"/>
      <c r="T499" s="21"/>
      <c r="U499" s="21"/>
      <c r="V499" s="22" t="str">
        <f t="shared" si="22"/>
        <v/>
      </c>
      <c r="W499" s="23" t="str">
        <f t="shared" si="23"/>
        <v/>
      </c>
    </row>
    <row r="500" spans="1:23" x14ac:dyDescent="0.35">
      <c r="A500" s="19" t="str">
        <f t="shared" si="21"/>
        <v/>
      </c>
      <c r="B500" s="20"/>
      <c r="C500" s="20"/>
      <c r="S500" s="21"/>
      <c r="T500" s="21"/>
      <c r="U500" s="21"/>
      <c r="V500" s="22" t="str">
        <f t="shared" si="22"/>
        <v/>
      </c>
      <c r="W500" s="23" t="str">
        <f t="shared" si="23"/>
        <v/>
      </c>
    </row>
    <row r="501" spans="1:23" x14ac:dyDescent="0.35">
      <c r="A501" s="19" t="str">
        <f t="shared" si="21"/>
        <v/>
      </c>
      <c r="B501" s="20"/>
      <c r="C501" s="20"/>
      <c r="S501" s="21"/>
      <c r="T501" s="21"/>
      <c r="U501" s="21"/>
      <c r="V501" s="22" t="str">
        <f t="shared" si="22"/>
        <v/>
      </c>
      <c r="W501" s="23" t="str">
        <f t="shared" si="23"/>
        <v/>
      </c>
    </row>
    <row r="502" spans="1:23" x14ac:dyDescent="0.35">
      <c r="A502" s="19" t="str">
        <f t="shared" si="21"/>
        <v/>
      </c>
      <c r="B502" s="20"/>
      <c r="C502" s="20"/>
      <c r="S502" s="21"/>
      <c r="T502" s="21"/>
      <c r="U502" s="21"/>
      <c r="V502" s="22" t="str">
        <f t="shared" si="22"/>
        <v/>
      </c>
      <c r="W502" s="23" t="str">
        <f t="shared" si="23"/>
        <v/>
      </c>
    </row>
    <row r="503" spans="1:23" x14ac:dyDescent="0.35">
      <c r="A503" s="19" t="str">
        <f t="shared" si="21"/>
        <v/>
      </c>
      <c r="B503" s="20"/>
      <c r="C503" s="20"/>
      <c r="S503" s="21"/>
      <c r="T503" s="21"/>
      <c r="U503" s="21"/>
      <c r="V503" s="22" t="str">
        <f t="shared" si="22"/>
        <v/>
      </c>
      <c r="W503" s="23" t="str">
        <f t="shared" si="23"/>
        <v/>
      </c>
    </row>
    <row r="504" spans="1:23" x14ac:dyDescent="0.35">
      <c r="A504" s="19" t="str">
        <f t="shared" si="21"/>
        <v/>
      </c>
      <c r="B504" s="20"/>
      <c r="C504" s="20"/>
      <c r="S504" s="21"/>
      <c r="T504" s="21"/>
      <c r="U504" s="21"/>
      <c r="V504" s="22" t="str">
        <f t="shared" si="22"/>
        <v/>
      </c>
      <c r="W504" s="23" t="str">
        <f t="shared" si="23"/>
        <v/>
      </c>
    </row>
    <row r="505" spans="1:23" x14ac:dyDescent="0.35">
      <c r="A505" s="19" t="str">
        <f t="shared" si="21"/>
        <v/>
      </c>
      <c r="B505" s="20"/>
      <c r="C505" s="20"/>
      <c r="S505" s="21"/>
      <c r="T505" s="21"/>
      <c r="U505" s="21"/>
      <c r="V505" s="22" t="str">
        <f t="shared" si="22"/>
        <v/>
      </c>
      <c r="W505" s="23" t="str">
        <f t="shared" si="23"/>
        <v/>
      </c>
    </row>
    <row r="506" spans="1:23" x14ac:dyDescent="0.35">
      <c r="A506" s="19" t="str">
        <f t="shared" si="21"/>
        <v/>
      </c>
      <c r="B506" s="20"/>
      <c r="C506" s="20"/>
      <c r="S506" s="21"/>
      <c r="T506" s="21"/>
      <c r="U506" s="21"/>
      <c r="V506" s="22" t="str">
        <f t="shared" si="22"/>
        <v/>
      </c>
      <c r="W506" s="23" t="str">
        <f t="shared" si="23"/>
        <v/>
      </c>
    </row>
    <row r="507" spans="1:23" x14ac:dyDescent="0.35">
      <c r="A507" s="19" t="str">
        <f t="shared" si="21"/>
        <v/>
      </c>
      <c r="B507" s="20"/>
      <c r="C507" s="20"/>
      <c r="S507" s="21"/>
      <c r="T507" s="21"/>
      <c r="U507" s="21"/>
      <c r="V507" s="22" t="str">
        <f t="shared" si="22"/>
        <v/>
      </c>
      <c r="W507" s="23" t="str">
        <f t="shared" si="23"/>
        <v/>
      </c>
    </row>
    <row r="508" spans="1:23" x14ac:dyDescent="0.35">
      <c r="A508" s="19" t="str">
        <f t="shared" si="21"/>
        <v/>
      </c>
      <c r="B508" s="20"/>
      <c r="C508" s="20"/>
      <c r="S508" s="21"/>
      <c r="T508" s="21"/>
      <c r="U508" s="21"/>
      <c r="V508" s="22" t="str">
        <f t="shared" si="22"/>
        <v/>
      </c>
      <c r="W508" s="23" t="str">
        <f t="shared" si="23"/>
        <v/>
      </c>
    </row>
    <row r="509" spans="1:23" x14ac:dyDescent="0.35">
      <c r="A509" s="19" t="str">
        <f t="shared" si="21"/>
        <v/>
      </c>
      <c r="B509" s="20"/>
      <c r="C509" s="20"/>
      <c r="S509" s="21"/>
      <c r="T509" s="21"/>
      <c r="U509" s="21"/>
      <c r="V509" s="22" t="str">
        <f t="shared" si="22"/>
        <v/>
      </c>
      <c r="W509" s="23" t="str">
        <f t="shared" si="23"/>
        <v/>
      </c>
    </row>
    <row r="510" spans="1:23" x14ac:dyDescent="0.35">
      <c r="A510" s="19" t="str">
        <f t="shared" si="21"/>
        <v/>
      </c>
      <c r="B510" s="20"/>
      <c r="C510" s="20"/>
      <c r="S510" s="21"/>
      <c r="T510" s="21"/>
      <c r="U510" s="21"/>
      <c r="V510" s="22" t="str">
        <f t="shared" si="22"/>
        <v/>
      </c>
      <c r="W510" s="23" t="str">
        <f t="shared" si="23"/>
        <v/>
      </c>
    </row>
    <row r="511" spans="1:23" x14ac:dyDescent="0.35">
      <c r="A511" s="19" t="str">
        <f t="shared" si="21"/>
        <v/>
      </c>
      <c r="B511" s="20"/>
      <c r="C511" s="20"/>
      <c r="S511" s="21"/>
      <c r="T511" s="21"/>
      <c r="U511" s="21"/>
      <c r="V511" s="22" t="str">
        <f t="shared" si="22"/>
        <v/>
      </c>
      <c r="W511" s="23" t="str">
        <f t="shared" si="23"/>
        <v/>
      </c>
    </row>
    <row r="512" spans="1:23" x14ac:dyDescent="0.35">
      <c r="A512" s="19" t="str">
        <f t="shared" si="21"/>
        <v/>
      </c>
      <c r="B512" s="20"/>
      <c r="C512" s="20"/>
      <c r="S512" s="21"/>
      <c r="T512" s="21"/>
      <c r="U512" s="21"/>
      <c r="V512" s="22" t="str">
        <f t="shared" si="22"/>
        <v/>
      </c>
      <c r="W512" s="23" t="str">
        <f t="shared" si="23"/>
        <v/>
      </c>
    </row>
    <row r="513" spans="1:23" x14ac:dyDescent="0.35">
      <c r="A513" s="19" t="str">
        <f t="shared" si="21"/>
        <v/>
      </c>
      <c r="B513" s="20"/>
      <c r="C513" s="20"/>
      <c r="S513" s="21"/>
      <c r="T513" s="21"/>
      <c r="U513" s="21"/>
      <c r="V513" s="22" t="str">
        <f t="shared" si="22"/>
        <v/>
      </c>
      <c r="W513" s="23" t="str">
        <f t="shared" si="23"/>
        <v/>
      </c>
    </row>
    <row r="514" spans="1:23" x14ac:dyDescent="0.35">
      <c r="A514" s="19" t="str">
        <f t="shared" ref="A514:A577" si="24">IF($B514="","",Prefixo&amp;"-"&amp;TEXT(ROW()-1,"0000"))</f>
        <v/>
      </c>
      <c r="B514" s="20"/>
      <c r="C514" s="20"/>
      <c r="S514" s="21"/>
      <c r="T514" s="21"/>
      <c r="U514" s="21"/>
      <c r="V514" s="22" t="str">
        <f t="shared" ref="V514:V577" si="25">IF($T514&gt;0,$T514-$U514,"")</f>
        <v/>
      </c>
      <c r="W514" s="23" t="str">
        <f t="shared" ref="W514:W577" si="26">IF($T514&gt;0,($T514-$U514)/$T514,"")</f>
        <v/>
      </c>
    </row>
    <row r="515" spans="1:23" x14ac:dyDescent="0.35">
      <c r="A515" s="19" t="str">
        <f t="shared" si="24"/>
        <v/>
      </c>
      <c r="B515" s="20"/>
      <c r="C515" s="20"/>
      <c r="S515" s="21"/>
      <c r="T515" s="21"/>
      <c r="U515" s="21"/>
      <c r="V515" s="22" t="str">
        <f t="shared" si="25"/>
        <v/>
      </c>
      <c r="W515" s="23" t="str">
        <f t="shared" si="26"/>
        <v/>
      </c>
    </row>
    <row r="516" spans="1:23" x14ac:dyDescent="0.35">
      <c r="A516" s="19" t="str">
        <f t="shared" si="24"/>
        <v/>
      </c>
      <c r="B516" s="20"/>
      <c r="C516" s="20"/>
      <c r="S516" s="21"/>
      <c r="T516" s="21"/>
      <c r="U516" s="21"/>
      <c r="V516" s="22" t="str">
        <f t="shared" si="25"/>
        <v/>
      </c>
      <c r="W516" s="23" t="str">
        <f t="shared" si="26"/>
        <v/>
      </c>
    </row>
    <row r="517" spans="1:23" x14ac:dyDescent="0.35">
      <c r="A517" s="19" t="str">
        <f t="shared" si="24"/>
        <v/>
      </c>
      <c r="B517" s="20"/>
      <c r="C517" s="20"/>
      <c r="S517" s="21"/>
      <c r="T517" s="21"/>
      <c r="U517" s="21"/>
      <c r="V517" s="22" t="str">
        <f t="shared" si="25"/>
        <v/>
      </c>
      <c r="W517" s="23" t="str">
        <f t="shared" si="26"/>
        <v/>
      </c>
    </row>
    <row r="518" spans="1:23" x14ac:dyDescent="0.35">
      <c r="A518" s="19" t="str">
        <f t="shared" si="24"/>
        <v/>
      </c>
      <c r="B518" s="20"/>
      <c r="C518" s="20"/>
      <c r="S518" s="21"/>
      <c r="T518" s="21"/>
      <c r="U518" s="21"/>
      <c r="V518" s="22" t="str">
        <f t="shared" si="25"/>
        <v/>
      </c>
      <c r="W518" s="23" t="str">
        <f t="shared" si="26"/>
        <v/>
      </c>
    </row>
    <row r="519" spans="1:23" x14ac:dyDescent="0.35">
      <c r="A519" s="19" t="str">
        <f t="shared" si="24"/>
        <v/>
      </c>
      <c r="B519" s="20"/>
      <c r="C519" s="20"/>
      <c r="S519" s="21"/>
      <c r="T519" s="21"/>
      <c r="U519" s="21"/>
      <c r="V519" s="22" t="str">
        <f t="shared" si="25"/>
        <v/>
      </c>
      <c r="W519" s="23" t="str">
        <f t="shared" si="26"/>
        <v/>
      </c>
    </row>
    <row r="520" spans="1:23" x14ac:dyDescent="0.35">
      <c r="A520" s="19" t="str">
        <f t="shared" si="24"/>
        <v/>
      </c>
      <c r="B520" s="20"/>
      <c r="C520" s="20"/>
      <c r="S520" s="21"/>
      <c r="T520" s="21"/>
      <c r="U520" s="21"/>
      <c r="V520" s="22" t="str">
        <f t="shared" si="25"/>
        <v/>
      </c>
      <c r="W520" s="23" t="str">
        <f t="shared" si="26"/>
        <v/>
      </c>
    </row>
    <row r="521" spans="1:23" x14ac:dyDescent="0.35">
      <c r="A521" s="19" t="str">
        <f t="shared" si="24"/>
        <v/>
      </c>
      <c r="B521" s="20"/>
      <c r="C521" s="20"/>
      <c r="S521" s="21"/>
      <c r="T521" s="21"/>
      <c r="U521" s="21"/>
      <c r="V521" s="22" t="str">
        <f t="shared" si="25"/>
        <v/>
      </c>
      <c r="W521" s="23" t="str">
        <f t="shared" si="26"/>
        <v/>
      </c>
    </row>
    <row r="522" spans="1:23" x14ac:dyDescent="0.35">
      <c r="A522" s="19" t="str">
        <f t="shared" si="24"/>
        <v/>
      </c>
      <c r="B522" s="20"/>
      <c r="C522" s="20"/>
      <c r="S522" s="21"/>
      <c r="T522" s="21"/>
      <c r="U522" s="21"/>
      <c r="V522" s="22" t="str">
        <f t="shared" si="25"/>
        <v/>
      </c>
      <c r="W522" s="23" t="str">
        <f t="shared" si="26"/>
        <v/>
      </c>
    </row>
    <row r="523" spans="1:23" x14ac:dyDescent="0.35">
      <c r="A523" s="19" t="str">
        <f t="shared" si="24"/>
        <v/>
      </c>
      <c r="B523" s="20"/>
      <c r="C523" s="20"/>
      <c r="S523" s="21"/>
      <c r="T523" s="21"/>
      <c r="U523" s="21"/>
      <c r="V523" s="22" t="str">
        <f t="shared" si="25"/>
        <v/>
      </c>
      <c r="W523" s="23" t="str">
        <f t="shared" si="26"/>
        <v/>
      </c>
    </row>
    <row r="524" spans="1:23" x14ac:dyDescent="0.35">
      <c r="A524" s="19" t="str">
        <f t="shared" si="24"/>
        <v/>
      </c>
      <c r="B524" s="20"/>
      <c r="C524" s="20"/>
      <c r="S524" s="21"/>
      <c r="T524" s="21"/>
      <c r="U524" s="21"/>
      <c r="V524" s="22" t="str">
        <f t="shared" si="25"/>
        <v/>
      </c>
      <c r="W524" s="23" t="str">
        <f t="shared" si="26"/>
        <v/>
      </c>
    </row>
    <row r="525" spans="1:23" x14ac:dyDescent="0.35">
      <c r="A525" s="19" t="str">
        <f t="shared" si="24"/>
        <v/>
      </c>
      <c r="B525" s="20"/>
      <c r="C525" s="20"/>
      <c r="S525" s="21"/>
      <c r="T525" s="21"/>
      <c r="U525" s="21"/>
      <c r="V525" s="22" t="str">
        <f t="shared" si="25"/>
        <v/>
      </c>
      <c r="W525" s="23" t="str">
        <f t="shared" si="26"/>
        <v/>
      </c>
    </row>
    <row r="526" spans="1:23" x14ac:dyDescent="0.35">
      <c r="A526" s="19" t="str">
        <f t="shared" si="24"/>
        <v/>
      </c>
      <c r="B526" s="20"/>
      <c r="C526" s="20"/>
      <c r="S526" s="21"/>
      <c r="T526" s="21"/>
      <c r="U526" s="21"/>
      <c r="V526" s="22" t="str">
        <f t="shared" si="25"/>
        <v/>
      </c>
      <c r="W526" s="23" t="str">
        <f t="shared" si="26"/>
        <v/>
      </c>
    </row>
    <row r="527" spans="1:23" x14ac:dyDescent="0.35">
      <c r="A527" s="19" t="str">
        <f t="shared" si="24"/>
        <v/>
      </c>
      <c r="B527" s="20"/>
      <c r="C527" s="20"/>
      <c r="S527" s="21"/>
      <c r="T527" s="21"/>
      <c r="U527" s="21"/>
      <c r="V527" s="22" t="str">
        <f t="shared" si="25"/>
        <v/>
      </c>
      <c r="W527" s="23" t="str">
        <f t="shared" si="26"/>
        <v/>
      </c>
    </row>
    <row r="528" spans="1:23" x14ac:dyDescent="0.35">
      <c r="A528" s="19" t="str">
        <f t="shared" si="24"/>
        <v/>
      </c>
      <c r="B528" s="20"/>
      <c r="C528" s="20"/>
      <c r="S528" s="21"/>
      <c r="T528" s="21"/>
      <c r="U528" s="21"/>
      <c r="V528" s="22" t="str">
        <f t="shared" si="25"/>
        <v/>
      </c>
      <c r="W528" s="23" t="str">
        <f t="shared" si="26"/>
        <v/>
      </c>
    </row>
    <row r="529" spans="1:23" x14ac:dyDescent="0.35">
      <c r="A529" s="19" t="str">
        <f t="shared" si="24"/>
        <v/>
      </c>
      <c r="B529" s="20"/>
      <c r="C529" s="20"/>
      <c r="S529" s="21"/>
      <c r="T529" s="21"/>
      <c r="U529" s="21"/>
      <c r="V529" s="22" t="str">
        <f t="shared" si="25"/>
        <v/>
      </c>
      <c r="W529" s="23" t="str">
        <f t="shared" si="26"/>
        <v/>
      </c>
    </row>
    <row r="530" spans="1:23" x14ac:dyDescent="0.35">
      <c r="A530" s="19" t="str">
        <f t="shared" si="24"/>
        <v/>
      </c>
      <c r="B530" s="20"/>
      <c r="C530" s="20"/>
      <c r="S530" s="21"/>
      <c r="T530" s="21"/>
      <c r="U530" s="21"/>
      <c r="V530" s="22" t="str">
        <f t="shared" si="25"/>
        <v/>
      </c>
      <c r="W530" s="23" t="str">
        <f t="shared" si="26"/>
        <v/>
      </c>
    </row>
    <row r="531" spans="1:23" x14ac:dyDescent="0.35">
      <c r="A531" s="19" t="str">
        <f t="shared" si="24"/>
        <v/>
      </c>
      <c r="B531" s="20"/>
      <c r="C531" s="20"/>
      <c r="S531" s="21"/>
      <c r="T531" s="21"/>
      <c r="U531" s="21"/>
      <c r="V531" s="22" t="str">
        <f t="shared" si="25"/>
        <v/>
      </c>
      <c r="W531" s="23" t="str">
        <f t="shared" si="26"/>
        <v/>
      </c>
    </row>
    <row r="532" spans="1:23" x14ac:dyDescent="0.35">
      <c r="A532" s="19" t="str">
        <f t="shared" si="24"/>
        <v/>
      </c>
      <c r="B532" s="20"/>
      <c r="C532" s="20"/>
      <c r="S532" s="21"/>
      <c r="T532" s="21"/>
      <c r="U532" s="21"/>
      <c r="V532" s="22" t="str">
        <f t="shared" si="25"/>
        <v/>
      </c>
      <c r="W532" s="23" t="str">
        <f t="shared" si="26"/>
        <v/>
      </c>
    </row>
    <row r="533" spans="1:23" x14ac:dyDescent="0.35">
      <c r="A533" s="19" t="str">
        <f t="shared" si="24"/>
        <v/>
      </c>
      <c r="B533" s="20"/>
      <c r="C533" s="20"/>
      <c r="S533" s="21"/>
      <c r="T533" s="21"/>
      <c r="U533" s="21"/>
      <c r="V533" s="22" t="str">
        <f t="shared" si="25"/>
        <v/>
      </c>
      <c r="W533" s="23" t="str">
        <f t="shared" si="26"/>
        <v/>
      </c>
    </row>
    <row r="534" spans="1:23" x14ac:dyDescent="0.35">
      <c r="A534" s="19" t="str">
        <f t="shared" si="24"/>
        <v/>
      </c>
      <c r="B534" s="20"/>
      <c r="C534" s="20"/>
      <c r="S534" s="21"/>
      <c r="T534" s="21"/>
      <c r="U534" s="21"/>
      <c r="V534" s="22" t="str">
        <f t="shared" si="25"/>
        <v/>
      </c>
      <c r="W534" s="23" t="str">
        <f t="shared" si="26"/>
        <v/>
      </c>
    </row>
    <row r="535" spans="1:23" x14ac:dyDescent="0.35">
      <c r="A535" s="19" t="str">
        <f t="shared" si="24"/>
        <v/>
      </c>
      <c r="B535" s="20"/>
      <c r="C535" s="20"/>
      <c r="S535" s="21"/>
      <c r="T535" s="21"/>
      <c r="U535" s="21"/>
      <c r="V535" s="22" t="str">
        <f t="shared" si="25"/>
        <v/>
      </c>
      <c r="W535" s="23" t="str">
        <f t="shared" si="26"/>
        <v/>
      </c>
    </row>
    <row r="536" spans="1:23" x14ac:dyDescent="0.35">
      <c r="A536" s="19" t="str">
        <f t="shared" si="24"/>
        <v/>
      </c>
      <c r="B536" s="20"/>
      <c r="C536" s="20"/>
      <c r="S536" s="21"/>
      <c r="T536" s="21"/>
      <c r="U536" s="21"/>
      <c r="V536" s="22" t="str">
        <f t="shared" si="25"/>
        <v/>
      </c>
      <c r="W536" s="23" t="str">
        <f t="shared" si="26"/>
        <v/>
      </c>
    </row>
    <row r="537" spans="1:23" x14ac:dyDescent="0.35">
      <c r="A537" s="19" t="str">
        <f t="shared" si="24"/>
        <v/>
      </c>
      <c r="B537" s="20"/>
      <c r="C537" s="20"/>
      <c r="S537" s="21"/>
      <c r="T537" s="21"/>
      <c r="U537" s="21"/>
      <c r="V537" s="22" t="str">
        <f t="shared" si="25"/>
        <v/>
      </c>
      <c r="W537" s="23" t="str">
        <f t="shared" si="26"/>
        <v/>
      </c>
    </row>
    <row r="538" spans="1:23" x14ac:dyDescent="0.35">
      <c r="A538" s="19" t="str">
        <f t="shared" si="24"/>
        <v/>
      </c>
      <c r="B538" s="20"/>
      <c r="C538" s="20"/>
      <c r="S538" s="21"/>
      <c r="T538" s="21"/>
      <c r="U538" s="21"/>
      <c r="V538" s="22" t="str">
        <f t="shared" si="25"/>
        <v/>
      </c>
      <c r="W538" s="23" t="str">
        <f t="shared" si="26"/>
        <v/>
      </c>
    </row>
    <row r="539" spans="1:23" x14ac:dyDescent="0.35">
      <c r="A539" s="19" t="str">
        <f t="shared" si="24"/>
        <v/>
      </c>
      <c r="B539" s="20"/>
      <c r="C539" s="20"/>
      <c r="S539" s="21"/>
      <c r="T539" s="21"/>
      <c r="U539" s="21"/>
      <c r="V539" s="22" t="str">
        <f t="shared" si="25"/>
        <v/>
      </c>
      <c r="W539" s="23" t="str">
        <f t="shared" si="26"/>
        <v/>
      </c>
    </row>
    <row r="540" spans="1:23" x14ac:dyDescent="0.35">
      <c r="A540" s="19" t="str">
        <f t="shared" si="24"/>
        <v/>
      </c>
      <c r="B540" s="20"/>
      <c r="C540" s="20"/>
      <c r="S540" s="21"/>
      <c r="T540" s="21"/>
      <c r="U540" s="21"/>
      <c r="V540" s="22" t="str">
        <f t="shared" si="25"/>
        <v/>
      </c>
      <c r="W540" s="23" t="str">
        <f t="shared" si="26"/>
        <v/>
      </c>
    </row>
    <row r="541" spans="1:23" x14ac:dyDescent="0.35">
      <c r="A541" s="19" t="str">
        <f t="shared" si="24"/>
        <v/>
      </c>
      <c r="B541" s="20"/>
      <c r="C541" s="20"/>
      <c r="S541" s="21"/>
      <c r="T541" s="21"/>
      <c r="U541" s="21"/>
      <c r="V541" s="22" t="str">
        <f t="shared" si="25"/>
        <v/>
      </c>
      <c r="W541" s="23" t="str">
        <f t="shared" si="26"/>
        <v/>
      </c>
    </row>
    <row r="542" spans="1:23" x14ac:dyDescent="0.35">
      <c r="A542" s="19" t="str">
        <f t="shared" si="24"/>
        <v/>
      </c>
      <c r="B542" s="20"/>
      <c r="C542" s="20"/>
      <c r="S542" s="21"/>
      <c r="T542" s="21"/>
      <c r="U542" s="21"/>
      <c r="V542" s="22" t="str">
        <f t="shared" si="25"/>
        <v/>
      </c>
      <c r="W542" s="23" t="str">
        <f t="shared" si="26"/>
        <v/>
      </c>
    </row>
    <row r="543" spans="1:23" x14ac:dyDescent="0.35">
      <c r="A543" s="19" t="str">
        <f t="shared" si="24"/>
        <v/>
      </c>
      <c r="B543" s="20"/>
      <c r="C543" s="20"/>
      <c r="S543" s="21"/>
      <c r="T543" s="21"/>
      <c r="U543" s="21"/>
      <c r="V543" s="22" t="str">
        <f t="shared" si="25"/>
        <v/>
      </c>
      <c r="W543" s="23" t="str">
        <f t="shared" si="26"/>
        <v/>
      </c>
    </row>
    <row r="544" spans="1:23" x14ac:dyDescent="0.35">
      <c r="A544" s="19" t="str">
        <f t="shared" si="24"/>
        <v/>
      </c>
      <c r="B544" s="20"/>
      <c r="C544" s="20"/>
      <c r="S544" s="21"/>
      <c r="T544" s="21"/>
      <c r="U544" s="21"/>
      <c r="V544" s="22" t="str">
        <f t="shared" si="25"/>
        <v/>
      </c>
      <c r="W544" s="23" t="str">
        <f t="shared" si="26"/>
        <v/>
      </c>
    </row>
    <row r="545" spans="1:23" x14ac:dyDescent="0.35">
      <c r="A545" s="19" t="str">
        <f t="shared" si="24"/>
        <v/>
      </c>
      <c r="B545" s="20"/>
      <c r="C545" s="20"/>
      <c r="S545" s="21"/>
      <c r="T545" s="21"/>
      <c r="U545" s="21"/>
      <c r="V545" s="22" t="str">
        <f t="shared" si="25"/>
        <v/>
      </c>
      <c r="W545" s="23" t="str">
        <f t="shared" si="26"/>
        <v/>
      </c>
    </row>
    <row r="546" spans="1:23" x14ac:dyDescent="0.35">
      <c r="A546" s="19" t="str">
        <f t="shared" si="24"/>
        <v/>
      </c>
      <c r="B546" s="20"/>
      <c r="C546" s="20"/>
      <c r="S546" s="21"/>
      <c r="T546" s="21"/>
      <c r="U546" s="21"/>
      <c r="V546" s="22" t="str">
        <f t="shared" si="25"/>
        <v/>
      </c>
      <c r="W546" s="23" t="str">
        <f t="shared" si="26"/>
        <v/>
      </c>
    </row>
    <row r="547" spans="1:23" x14ac:dyDescent="0.35">
      <c r="A547" s="19" t="str">
        <f t="shared" si="24"/>
        <v/>
      </c>
      <c r="B547" s="20"/>
      <c r="C547" s="20"/>
      <c r="S547" s="21"/>
      <c r="T547" s="21"/>
      <c r="U547" s="21"/>
      <c r="V547" s="22" t="str">
        <f t="shared" si="25"/>
        <v/>
      </c>
      <c r="W547" s="23" t="str">
        <f t="shared" si="26"/>
        <v/>
      </c>
    </row>
    <row r="548" spans="1:23" x14ac:dyDescent="0.35">
      <c r="A548" s="19" t="str">
        <f t="shared" si="24"/>
        <v/>
      </c>
      <c r="B548" s="20"/>
      <c r="C548" s="20"/>
      <c r="S548" s="21"/>
      <c r="T548" s="21"/>
      <c r="U548" s="21"/>
      <c r="V548" s="22" t="str">
        <f t="shared" si="25"/>
        <v/>
      </c>
      <c r="W548" s="23" t="str">
        <f t="shared" si="26"/>
        <v/>
      </c>
    </row>
    <row r="549" spans="1:23" x14ac:dyDescent="0.35">
      <c r="A549" s="19" t="str">
        <f t="shared" si="24"/>
        <v/>
      </c>
      <c r="B549" s="20"/>
      <c r="C549" s="20"/>
      <c r="S549" s="21"/>
      <c r="T549" s="21"/>
      <c r="U549" s="21"/>
      <c r="V549" s="22" t="str">
        <f t="shared" si="25"/>
        <v/>
      </c>
      <c r="W549" s="23" t="str">
        <f t="shared" si="26"/>
        <v/>
      </c>
    </row>
    <row r="550" spans="1:23" x14ac:dyDescent="0.35">
      <c r="A550" s="19" t="str">
        <f t="shared" si="24"/>
        <v/>
      </c>
      <c r="B550" s="20"/>
      <c r="C550" s="20"/>
      <c r="S550" s="21"/>
      <c r="T550" s="21"/>
      <c r="U550" s="21"/>
      <c r="V550" s="22" t="str">
        <f t="shared" si="25"/>
        <v/>
      </c>
      <c r="W550" s="23" t="str">
        <f t="shared" si="26"/>
        <v/>
      </c>
    </row>
    <row r="551" spans="1:23" x14ac:dyDescent="0.35">
      <c r="A551" s="19" t="str">
        <f t="shared" si="24"/>
        <v/>
      </c>
      <c r="B551" s="20"/>
      <c r="C551" s="20"/>
      <c r="S551" s="21"/>
      <c r="T551" s="21"/>
      <c r="U551" s="21"/>
      <c r="V551" s="22" t="str">
        <f t="shared" si="25"/>
        <v/>
      </c>
      <c r="W551" s="23" t="str">
        <f t="shared" si="26"/>
        <v/>
      </c>
    </row>
    <row r="552" spans="1:23" x14ac:dyDescent="0.35">
      <c r="A552" s="19" t="str">
        <f t="shared" si="24"/>
        <v/>
      </c>
      <c r="B552" s="20"/>
      <c r="C552" s="20"/>
      <c r="S552" s="21"/>
      <c r="T552" s="21"/>
      <c r="U552" s="21"/>
      <c r="V552" s="22" t="str">
        <f t="shared" si="25"/>
        <v/>
      </c>
      <c r="W552" s="23" t="str">
        <f t="shared" si="26"/>
        <v/>
      </c>
    </row>
    <row r="553" spans="1:23" x14ac:dyDescent="0.35">
      <c r="A553" s="19" t="str">
        <f t="shared" si="24"/>
        <v/>
      </c>
      <c r="B553" s="20"/>
      <c r="C553" s="20"/>
      <c r="S553" s="21"/>
      <c r="T553" s="21"/>
      <c r="U553" s="21"/>
      <c r="V553" s="22" t="str">
        <f t="shared" si="25"/>
        <v/>
      </c>
      <c r="W553" s="23" t="str">
        <f t="shared" si="26"/>
        <v/>
      </c>
    </row>
    <row r="554" spans="1:23" x14ac:dyDescent="0.35">
      <c r="A554" s="19" t="str">
        <f t="shared" si="24"/>
        <v/>
      </c>
      <c r="B554" s="20"/>
      <c r="C554" s="20"/>
      <c r="S554" s="21"/>
      <c r="T554" s="21"/>
      <c r="U554" s="21"/>
      <c r="V554" s="22" t="str">
        <f t="shared" si="25"/>
        <v/>
      </c>
      <c r="W554" s="23" t="str">
        <f t="shared" si="26"/>
        <v/>
      </c>
    </row>
    <row r="555" spans="1:23" x14ac:dyDescent="0.35">
      <c r="A555" s="19" t="str">
        <f t="shared" si="24"/>
        <v/>
      </c>
      <c r="B555" s="20"/>
      <c r="C555" s="20"/>
      <c r="S555" s="21"/>
      <c r="T555" s="21"/>
      <c r="U555" s="21"/>
      <c r="V555" s="22" t="str">
        <f t="shared" si="25"/>
        <v/>
      </c>
      <c r="W555" s="23" t="str">
        <f t="shared" si="26"/>
        <v/>
      </c>
    </row>
    <row r="556" spans="1:23" x14ac:dyDescent="0.35">
      <c r="A556" s="19" t="str">
        <f t="shared" si="24"/>
        <v/>
      </c>
      <c r="B556" s="20"/>
      <c r="C556" s="20"/>
      <c r="S556" s="21"/>
      <c r="T556" s="21"/>
      <c r="U556" s="21"/>
      <c r="V556" s="22" t="str">
        <f t="shared" si="25"/>
        <v/>
      </c>
      <c r="W556" s="23" t="str">
        <f t="shared" si="26"/>
        <v/>
      </c>
    </row>
    <row r="557" spans="1:23" x14ac:dyDescent="0.35">
      <c r="A557" s="19" t="str">
        <f t="shared" si="24"/>
        <v/>
      </c>
      <c r="B557" s="20"/>
      <c r="C557" s="20"/>
      <c r="S557" s="21"/>
      <c r="T557" s="21"/>
      <c r="U557" s="21"/>
      <c r="V557" s="22" t="str">
        <f t="shared" si="25"/>
        <v/>
      </c>
      <c r="W557" s="23" t="str">
        <f t="shared" si="26"/>
        <v/>
      </c>
    </row>
    <row r="558" spans="1:23" x14ac:dyDescent="0.35">
      <c r="A558" s="19" t="str">
        <f t="shared" si="24"/>
        <v/>
      </c>
      <c r="B558" s="20"/>
      <c r="C558" s="20"/>
      <c r="S558" s="21"/>
      <c r="T558" s="21"/>
      <c r="U558" s="21"/>
      <c r="V558" s="22" t="str">
        <f t="shared" si="25"/>
        <v/>
      </c>
      <c r="W558" s="23" t="str">
        <f t="shared" si="26"/>
        <v/>
      </c>
    </row>
    <row r="559" spans="1:23" x14ac:dyDescent="0.35">
      <c r="A559" s="19" t="str">
        <f t="shared" si="24"/>
        <v/>
      </c>
      <c r="B559" s="20"/>
      <c r="C559" s="20"/>
      <c r="S559" s="21"/>
      <c r="T559" s="21"/>
      <c r="U559" s="21"/>
      <c r="V559" s="22" t="str">
        <f t="shared" si="25"/>
        <v/>
      </c>
      <c r="W559" s="23" t="str">
        <f t="shared" si="26"/>
        <v/>
      </c>
    </row>
    <row r="560" spans="1:23" x14ac:dyDescent="0.35">
      <c r="A560" s="19" t="str">
        <f t="shared" si="24"/>
        <v/>
      </c>
      <c r="B560" s="20"/>
      <c r="C560" s="20"/>
      <c r="S560" s="21"/>
      <c r="T560" s="21"/>
      <c r="U560" s="21"/>
      <c r="V560" s="22" t="str">
        <f t="shared" si="25"/>
        <v/>
      </c>
      <c r="W560" s="23" t="str">
        <f t="shared" si="26"/>
        <v/>
      </c>
    </row>
    <row r="561" spans="1:23" x14ac:dyDescent="0.35">
      <c r="A561" s="19" t="str">
        <f t="shared" si="24"/>
        <v/>
      </c>
      <c r="B561" s="20"/>
      <c r="C561" s="20"/>
      <c r="S561" s="21"/>
      <c r="T561" s="21"/>
      <c r="U561" s="21"/>
      <c r="V561" s="22" t="str">
        <f t="shared" si="25"/>
        <v/>
      </c>
      <c r="W561" s="23" t="str">
        <f t="shared" si="26"/>
        <v/>
      </c>
    </row>
    <row r="562" spans="1:23" x14ac:dyDescent="0.35">
      <c r="A562" s="19" t="str">
        <f t="shared" si="24"/>
        <v/>
      </c>
      <c r="B562" s="20"/>
      <c r="C562" s="20"/>
      <c r="S562" s="21"/>
      <c r="T562" s="21"/>
      <c r="U562" s="21"/>
      <c r="V562" s="22" t="str">
        <f t="shared" si="25"/>
        <v/>
      </c>
      <c r="W562" s="23" t="str">
        <f t="shared" si="26"/>
        <v/>
      </c>
    </row>
    <row r="563" spans="1:23" x14ac:dyDescent="0.35">
      <c r="A563" s="19" t="str">
        <f t="shared" si="24"/>
        <v/>
      </c>
      <c r="B563" s="20"/>
      <c r="C563" s="20"/>
      <c r="S563" s="21"/>
      <c r="T563" s="21"/>
      <c r="U563" s="21"/>
      <c r="V563" s="22" t="str">
        <f t="shared" si="25"/>
        <v/>
      </c>
      <c r="W563" s="23" t="str">
        <f t="shared" si="26"/>
        <v/>
      </c>
    </row>
    <row r="564" spans="1:23" x14ac:dyDescent="0.35">
      <c r="A564" s="19" t="str">
        <f t="shared" si="24"/>
        <v/>
      </c>
      <c r="B564" s="20"/>
      <c r="C564" s="20"/>
      <c r="S564" s="21"/>
      <c r="T564" s="21"/>
      <c r="U564" s="21"/>
      <c r="V564" s="22" t="str">
        <f t="shared" si="25"/>
        <v/>
      </c>
      <c r="W564" s="23" t="str">
        <f t="shared" si="26"/>
        <v/>
      </c>
    </row>
    <row r="565" spans="1:23" x14ac:dyDescent="0.35">
      <c r="A565" s="19" t="str">
        <f t="shared" si="24"/>
        <v/>
      </c>
      <c r="B565" s="20"/>
      <c r="C565" s="20"/>
      <c r="S565" s="21"/>
      <c r="T565" s="21"/>
      <c r="U565" s="21"/>
      <c r="V565" s="22" t="str">
        <f t="shared" si="25"/>
        <v/>
      </c>
      <c r="W565" s="23" t="str">
        <f t="shared" si="26"/>
        <v/>
      </c>
    </row>
    <row r="566" spans="1:23" x14ac:dyDescent="0.35">
      <c r="A566" s="19" t="str">
        <f t="shared" si="24"/>
        <v/>
      </c>
      <c r="B566" s="20"/>
      <c r="C566" s="20"/>
      <c r="S566" s="21"/>
      <c r="T566" s="21"/>
      <c r="U566" s="21"/>
      <c r="V566" s="22" t="str">
        <f t="shared" si="25"/>
        <v/>
      </c>
      <c r="W566" s="23" t="str">
        <f t="shared" si="26"/>
        <v/>
      </c>
    </row>
    <row r="567" spans="1:23" x14ac:dyDescent="0.35">
      <c r="A567" s="19" t="str">
        <f t="shared" si="24"/>
        <v/>
      </c>
      <c r="B567" s="20"/>
      <c r="C567" s="20"/>
      <c r="S567" s="21"/>
      <c r="T567" s="21"/>
      <c r="U567" s="21"/>
      <c r="V567" s="22" t="str">
        <f t="shared" si="25"/>
        <v/>
      </c>
      <c r="W567" s="23" t="str">
        <f t="shared" si="26"/>
        <v/>
      </c>
    </row>
    <row r="568" spans="1:23" x14ac:dyDescent="0.35">
      <c r="A568" s="19" t="str">
        <f t="shared" si="24"/>
        <v/>
      </c>
      <c r="B568" s="20"/>
      <c r="C568" s="20"/>
      <c r="S568" s="21"/>
      <c r="T568" s="21"/>
      <c r="U568" s="21"/>
      <c r="V568" s="22" t="str">
        <f t="shared" si="25"/>
        <v/>
      </c>
      <c r="W568" s="23" t="str">
        <f t="shared" si="26"/>
        <v/>
      </c>
    </row>
    <row r="569" spans="1:23" x14ac:dyDescent="0.35">
      <c r="A569" s="19" t="str">
        <f t="shared" si="24"/>
        <v/>
      </c>
      <c r="B569" s="20"/>
      <c r="C569" s="20"/>
      <c r="S569" s="21"/>
      <c r="T569" s="21"/>
      <c r="U569" s="21"/>
      <c r="V569" s="22" t="str">
        <f t="shared" si="25"/>
        <v/>
      </c>
      <c r="W569" s="23" t="str">
        <f t="shared" si="26"/>
        <v/>
      </c>
    </row>
    <row r="570" spans="1:23" x14ac:dyDescent="0.35">
      <c r="A570" s="19" t="str">
        <f t="shared" si="24"/>
        <v/>
      </c>
      <c r="B570" s="20"/>
      <c r="C570" s="20"/>
      <c r="S570" s="21"/>
      <c r="T570" s="21"/>
      <c r="U570" s="21"/>
      <c r="V570" s="22" t="str">
        <f t="shared" si="25"/>
        <v/>
      </c>
      <c r="W570" s="23" t="str">
        <f t="shared" si="26"/>
        <v/>
      </c>
    </row>
    <row r="571" spans="1:23" x14ac:dyDescent="0.35">
      <c r="A571" s="19" t="str">
        <f t="shared" si="24"/>
        <v/>
      </c>
      <c r="B571" s="20"/>
      <c r="C571" s="20"/>
      <c r="S571" s="21"/>
      <c r="T571" s="21"/>
      <c r="U571" s="21"/>
      <c r="V571" s="22" t="str">
        <f t="shared" si="25"/>
        <v/>
      </c>
      <c r="W571" s="23" t="str">
        <f t="shared" si="26"/>
        <v/>
      </c>
    </row>
    <row r="572" spans="1:23" x14ac:dyDescent="0.35">
      <c r="A572" s="19" t="str">
        <f t="shared" si="24"/>
        <v/>
      </c>
      <c r="B572" s="20"/>
      <c r="C572" s="20"/>
      <c r="S572" s="21"/>
      <c r="T572" s="21"/>
      <c r="U572" s="21"/>
      <c r="V572" s="22" t="str">
        <f t="shared" si="25"/>
        <v/>
      </c>
      <c r="W572" s="23" t="str">
        <f t="shared" si="26"/>
        <v/>
      </c>
    </row>
    <row r="573" spans="1:23" x14ac:dyDescent="0.35">
      <c r="A573" s="19" t="str">
        <f t="shared" si="24"/>
        <v/>
      </c>
      <c r="B573" s="20"/>
      <c r="C573" s="20"/>
      <c r="S573" s="21"/>
      <c r="T573" s="21"/>
      <c r="U573" s="21"/>
      <c r="V573" s="22" t="str">
        <f t="shared" si="25"/>
        <v/>
      </c>
      <c r="W573" s="23" t="str">
        <f t="shared" si="26"/>
        <v/>
      </c>
    </row>
    <row r="574" spans="1:23" x14ac:dyDescent="0.35">
      <c r="A574" s="19" t="str">
        <f t="shared" si="24"/>
        <v/>
      </c>
      <c r="B574" s="20"/>
      <c r="C574" s="20"/>
      <c r="S574" s="21"/>
      <c r="T574" s="21"/>
      <c r="U574" s="21"/>
      <c r="V574" s="22" t="str">
        <f t="shared" si="25"/>
        <v/>
      </c>
      <c r="W574" s="23" t="str">
        <f t="shared" si="26"/>
        <v/>
      </c>
    </row>
    <row r="575" spans="1:23" x14ac:dyDescent="0.35">
      <c r="A575" s="19" t="str">
        <f t="shared" si="24"/>
        <v/>
      </c>
      <c r="B575" s="20"/>
      <c r="C575" s="20"/>
      <c r="S575" s="21"/>
      <c r="T575" s="21"/>
      <c r="U575" s="21"/>
      <c r="V575" s="22" t="str">
        <f t="shared" si="25"/>
        <v/>
      </c>
      <c r="W575" s="23" t="str">
        <f t="shared" si="26"/>
        <v/>
      </c>
    </row>
    <row r="576" spans="1:23" x14ac:dyDescent="0.35">
      <c r="A576" s="19" t="str">
        <f t="shared" si="24"/>
        <v/>
      </c>
      <c r="B576" s="20"/>
      <c r="C576" s="20"/>
      <c r="S576" s="21"/>
      <c r="T576" s="21"/>
      <c r="U576" s="21"/>
      <c r="V576" s="22" t="str">
        <f t="shared" si="25"/>
        <v/>
      </c>
      <c r="W576" s="23" t="str">
        <f t="shared" si="26"/>
        <v/>
      </c>
    </row>
    <row r="577" spans="1:23" x14ac:dyDescent="0.35">
      <c r="A577" s="19" t="str">
        <f t="shared" si="24"/>
        <v/>
      </c>
      <c r="B577" s="20"/>
      <c r="C577" s="20"/>
      <c r="S577" s="21"/>
      <c r="T577" s="21"/>
      <c r="U577" s="21"/>
      <c r="V577" s="22" t="str">
        <f t="shared" si="25"/>
        <v/>
      </c>
      <c r="W577" s="23" t="str">
        <f t="shared" si="26"/>
        <v/>
      </c>
    </row>
    <row r="578" spans="1:23" x14ac:dyDescent="0.35">
      <c r="A578" s="19" t="str">
        <f t="shared" ref="A578:A641" si="27">IF($B578="","",Prefixo&amp;"-"&amp;TEXT(ROW()-1,"0000"))</f>
        <v/>
      </c>
      <c r="B578" s="20"/>
      <c r="C578" s="20"/>
      <c r="S578" s="21"/>
      <c r="T578" s="21"/>
      <c r="U578" s="21"/>
      <c r="V578" s="22" t="str">
        <f t="shared" ref="V578:V641" si="28">IF($T578&gt;0,$T578-$U578,"")</f>
        <v/>
      </c>
      <c r="W578" s="23" t="str">
        <f t="shared" ref="W578:W641" si="29">IF($T578&gt;0,($T578-$U578)/$T578,"")</f>
        <v/>
      </c>
    </row>
    <row r="579" spans="1:23" x14ac:dyDescent="0.35">
      <c r="A579" s="19" t="str">
        <f t="shared" si="27"/>
        <v/>
      </c>
      <c r="B579" s="20"/>
      <c r="C579" s="20"/>
      <c r="S579" s="21"/>
      <c r="T579" s="21"/>
      <c r="U579" s="21"/>
      <c r="V579" s="22" t="str">
        <f t="shared" si="28"/>
        <v/>
      </c>
      <c r="W579" s="23" t="str">
        <f t="shared" si="29"/>
        <v/>
      </c>
    </row>
    <row r="580" spans="1:23" x14ac:dyDescent="0.35">
      <c r="A580" s="19" t="str">
        <f t="shared" si="27"/>
        <v/>
      </c>
      <c r="B580" s="20"/>
      <c r="C580" s="20"/>
      <c r="S580" s="21"/>
      <c r="T580" s="21"/>
      <c r="U580" s="21"/>
      <c r="V580" s="22" t="str">
        <f t="shared" si="28"/>
        <v/>
      </c>
      <c r="W580" s="23" t="str">
        <f t="shared" si="29"/>
        <v/>
      </c>
    </row>
    <row r="581" spans="1:23" x14ac:dyDescent="0.35">
      <c r="A581" s="19" t="str">
        <f t="shared" si="27"/>
        <v/>
      </c>
      <c r="B581" s="20"/>
      <c r="C581" s="20"/>
      <c r="S581" s="21"/>
      <c r="T581" s="21"/>
      <c r="U581" s="21"/>
      <c r="V581" s="22" t="str">
        <f t="shared" si="28"/>
        <v/>
      </c>
      <c r="W581" s="23" t="str">
        <f t="shared" si="29"/>
        <v/>
      </c>
    </row>
    <row r="582" spans="1:23" x14ac:dyDescent="0.35">
      <c r="A582" s="19" t="str">
        <f t="shared" si="27"/>
        <v/>
      </c>
      <c r="B582" s="20"/>
      <c r="C582" s="20"/>
      <c r="S582" s="21"/>
      <c r="T582" s="21"/>
      <c r="U582" s="21"/>
      <c r="V582" s="22" t="str">
        <f t="shared" si="28"/>
        <v/>
      </c>
      <c r="W582" s="23" t="str">
        <f t="shared" si="29"/>
        <v/>
      </c>
    </row>
    <row r="583" spans="1:23" x14ac:dyDescent="0.35">
      <c r="A583" s="19" t="str">
        <f t="shared" si="27"/>
        <v/>
      </c>
      <c r="B583" s="20"/>
      <c r="C583" s="20"/>
      <c r="S583" s="21"/>
      <c r="T583" s="21"/>
      <c r="U583" s="21"/>
      <c r="V583" s="22" t="str">
        <f t="shared" si="28"/>
        <v/>
      </c>
      <c r="W583" s="23" t="str">
        <f t="shared" si="29"/>
        <v/>
      </c>
    </row>
    <row r="584" spans="1:23" x14ac:dyDescent="0.35">
      <c r="A584" s="19" t="str">
        <f t="shared" si="27"/>
        <v/>
      </c>
      <c r="B584" s="20"/>
      <c r="C584" s="20"/>
      <c r="S584" s="21"/>
      <c r="T584" s="21"/>
      <c r="U584" s="21"/>
      <c r="V584" s="22" t="str">
        <f t="shared" si="28"/>
        <v/>
      </c>
      <c r="W584" s="23" t="str">
        <f t="shared" si="29"/>
        <v/>
      </c>
    </row>
    <row r="585" spans="1:23" x14ac:dyDescent="0.35">
      <c r="A585" s="19" t="str">
        <f t="shared" si="27"/>
        <v/>
      </c>
      <c r="B585" s="20"/>
      <c r="C585" s="20"/>
      <c r="S585" s="21"/>
      <c r="T585" s="21"/>
      <c r="U585" s="21"/>
      <c r="V585" s="22" t="str">
        <f t="shared" si="28"/>
        <v/>
      </c>
      <c r="W585" s="23" t="str">
        <f t="shared" si="29"/>
        <v/>
      </c>
    </row>
    <row r="586" spans="1:23" x14ac:dyDescent="0.35">
      <c r="A586" s="19" t="str">
        <f t="shared" si="27"/>
        <v/>
      </c>
      <c r="B586" s="20"/>
      <c r="C586" s="20"/>
      <c r="S586" s="21"/>
      <c r="T586" s="21"/>
      <c r="U586" s="21"/>
      <c r="V586" s="22" t="str">
        <f t="shared" si="28"/>
        <v/>
      </c>
      <c r="W586" s="23" t="str">
        <f t="shared" si="29"/>
        <v/>
      </c>
    </row>
    <row r="587" spans="1:23" x14ac:dyDescent="0.35">
      <c r="A587" s="19" t="str">
        <f t="shared" si="27"/>
        <v/>
      </c>
      <c r="B587" s="20"/>
      <c r="C587" s="20"/>
      <c r="S587" s="21"/>
      <c r="T587" s="21"/>
      <c r="U587" s="21"/>
      <c r="V587" s="22" t="str">
        <f t="shared" si="28"/>
        <v/>
      </c>
      <c r="W587" s="23" t="str">
        <f t="shared" si="29"/>
        <v/>
      </c>
    </row>
    <row r="588" spans="1:23" x14ac:dyDescent="0.35">
      <c r="A588" s="19" t="str">
        <f t="shared" si="27"/>
        <v/>
      </c>
      <c r="B588" s="20"/>
      <c r="C588" s="20"/>
      <c r="S588" s="21"/>
      <c r="T588" s="21"/>
      <c r="U588" s="21"/>
      <c r="V588" s="22" t="str">
        <f t="shared" si="28"/>
        <v/>
      </c>
      <c r="W588" s="23" t="str">
        <f t="shared" si="29"/>
        <v/>
      </c>
    </row>
    <row r="589" spans="1:23" x14ac:dyDescent="0.35">
      <c r="A589" s="19" t="str">
        <f t="shared" si="27"/>
        <v/>
      </c>
      <c r="B589" s="20"/>
      <c r="C589" s="20"/>
      <c r="S589" s="21"/>
      <c r="T589" s="21"/>
      <c r="U589" s="21"/>
      <c r="V589" s="22" t="str">
        <f t="shared" si="28"/>
        <v/>
      </c>
      <c r="W589" s="23" t="str">
        <f t="shared" si="29"/>
        <v/>
      </c>
    </row>
    <row r="590" spans="1:23" x14ac:dyDescent="0.35">
      <c r="A590" s="19" t="str">
        <f t="shared" si="27"/>
        <v/>
      </c>
      <c r="B590" s="20"/>
      <c r="C590" s="20"/>
      <c r="S590" s="21"/>
      <c r="T590" s="21"/>
      <c r="U590" s="21"/>
      <c r="V590" s="22" t="str">
        <f t="shared" si="28"/>
        <v/>
      </c>
      <c r="W590" s="23" t="str">
        <f t="shared" si="29"/>
        <v/>
      </c>
    </row>
    <row r="591" spans="1:23" x14ac:dyDescent="0.35">
      <c r="A591" s="19" t="str">
        <f t="shared" si="27"/>
        <v/>
      </c>
      <c r="B591" s="20"/>
      <c r="C591" s="20"/>
      <c r="S591" s="21"/>
      <c r="T591" s="21"/>
      <c r="U591" s="21"/>
      <c r="V591" s="22" t="str">
        <f t="shared" si="28"/>
        <v/>
      </c>
      <c r="W591" s="23" t="str">
        <f t="shared" si="29"/>
        <v/>
      </c>
    </row>
    <row r="592" spans="1:23" x14ac:dyDescent="0.35">
      <c r="A592" s="19" t="str">
        <f t="shared" si="27"/>
        <v/>
      </c>
      <c r="B592" s="20"/>
      <c r="C592" s="20"/>
      <c r="S592" s="21"/>
      <c r="T592" s="21"/>
      <c r="U592" s="21"/>
      <c r="V592" s="22" t="str">
        <f t="shared" si="28"/>
        <v/>
      </c>
      <c r="W592" s="23" t="str">
        <f t="shared" si="29"/>
        <v/>
      </c>
    </row>
    <row r="593" spans="1:23" x14ac:dyDescent="0.35">
      <c r="A593" s="19" t="str">
        <f t="shared" si="27"/>
        <v/>
      </c>
      <c r="B593" s="20"/>
      <c r="C593" s="20"/>
      <c r="S593" s="21"/>
      <c r="T593" s="21"/>
      <c r="U593" s="21"/>
      <c r="V593" s="22" t="str">
        <f t="shared" si="28"/>
        <v/>
      </c>
      <c r="W593" s="23" t="str">
        <f t="shared" si="29"/>
        <v/>
      </c>
    </row>
    <row r="594" spans="1:23" x14ac:dyDescent="0.35">
      <c r="A594" s="19" t="str">
        <f t="shared" si="27"/>
        <v/>
      </c>
      <c r="B594" s="20"/>
      <c r="C594" s="20"/>
      <c r="S594" s="21"/>
      <c r="T594" s="21"/>
      <c r="U594" s="21"/>
      <c r="V594" s="22" t="str">
        <f t="shared" si="28"/>
        <v/>
      </c>
      <c r="W594" s="23" t="str">
        <f t="shared" si="29"/>
        <v/>
      </c>
    </row>
    <row r="595" spans="1:23" x14ac:dyDescent="0.35">
      <c r="A595" s="19" t="str">
        <f t="shared" si="27"/>
        <v/>
      </c>
      <c r="B595" s="20"/>
      <c r="C595" s="20"/>
      <c r="S595" s="21"/>
      <c r="T595" s="21"/>
      <c r="U595" s="21"/>
      <c r="V595" s="22" t="str">
        <f t="shared" si="28"/>
        <v/>
      </c>
      <c r="W595" s="23" t="str">
        <f t="shared" si="29"/>
        <v/>
      </c>
    </row>
    <row r="596" spans="1:23" x14ac:dyDescent="0.35">
      <c r="A596" s="19" t="str">
        <f t="shared" si="27"/>
        <v/>
      </c>
      <c r="B596" s="20"/>
      <c r="C596" s="20"/>
      <c r="S596" s="21"/>
      <c r="T596" s="21"/>
      <c r="U596" s="21"/>
      <c r="V596" s="22" t="str">
        <f t="shared" si="28"/>
        <v/>
      </c>
      <c r="W596" s="23" t="str">
        <f t="shared" si="29"/>
        <v/>
      </c>
    </row>
    <row r="597" spans="1:23" x14ac:dyDescent="0.35">
      <c r="A597" s="19" t="str">
        <f t="shared" si="27"/>
        <v/>
      </c>
      <c r="B597" s="20"/>
      <c r="C597" s="20"/>
      <c r="S597" s="21"/>
      <c r="T597" s="21"/>
      <c r="U597" s="21"/>
      <c r="V597" s="22" t="str">
        <f t="shared" si="28"/>
        <v/>
      </c>
      <c r="W597" s="23" t="str">
        <f t="shared" si="29"/>
        <v/>
      </c>
    </row>
    <row r="598" spans="1:23" x14ac:dyDescent="0.35">
      <c r="A598" s="19" t="str">
        <f t="shared" si="27"/>
        <v/>
      </c>
      <c r="B598" s="20"/>
      <c r="C598" s="20"/>
      <c r="S598" s="21"/>
      <c r="T598" s="21"/>
      <c r="U598" s="21"/>
      <c r="V598" s="22" t="str">
        <f t="shared" si="28"/>
        <v/>
      </c>
      <c r="W598" s="23" t="str">
        <f t="shared" si="29"/>
        <v/>
      </c>
    </row>
    <row r="599" spans="1:23" x14ac:dyDescent="0.35">
      <c r="A599" s="19" t="str">
        <f t="shared" si="27"/>
        <v/>
      </c>
      <c r="B599" s="20"/>
      <c r="C599" s="20"/>
      <c r="S599" s="21"/>
      <c r="T599" s="21"/>
      <c r="U599" s="21"/>
      <c r="V599" s="22" t="str">
        <f t="shared" si="28"/>
        <v/>
      </c>
      <c r="W599" s="23" t="str">
        <f t="shared" si="29"/>
        <v/>
      </c>
    </row>
    <row r="600" spans="1:23" x14ac:dyDescent="0.35">
      <c r="A600" s="19" t="str">
        <f t="shared" si="27"/>
        <v/>
      </c>
      <c r="B600" s="20"/>
      <c r="C600" s="20"/>
      <c r="S600" s="21"/>
      <c r="T600" s="21"/>
      <c r="U600" s="21"/>
      <c r="V600" s="22" t="str">
        <f t="shared" si="28"/>
        <v/>
      </c>
      <c r="W600" s="23" t="str">
        <f t="shared" si="29"/>
        <v/>
      </c>
    </row>
    <row r="601" spans="1:23" x14ac:dyDescent="0.35">
      <c r="A601" s="19" t="str">
        <f t="shared" si="27"/>
        <v/>
      </c>
      <c r="B601" s="20"/>
      <c r="C601" s="20"/>
      <c r="S601" s="21"/>
      <c r="T601" s="21"/>
      <c r="U601" s="21"/>
      <c r="V601" s="22" t="str">
        <f t="shared" si="28"/>
        <v/>
      </c>
      <c r="W601" s="23" t="str">
        <f t="shared" si="29"/>
        <v/>
      </c>
    </row>
    <row r="602" spans="1:23" x14ac:dyDescent="0.35">
      <c r="A602" s="19" t="str">
        <f t="shared" si="27"/>
        <v/>
      </c>
      <c r="B602" s="20"/>
      <c r="C602" s="20"/>
      <c r="S602" s="21"/>
      <c r="T602" s="21"/>
      <c r="U602" s="21"/>
      <c r="V602" s="22" t="str">
        <f t="shared" si="28"/>
        <v/>
      </c>
      <c r="W602" s="23" t="str">
        <f t="shared" si="29"/>
        <v/>
      </c>
    </row>
    <row r="603" spans="1:23" x14ac:dyDescent="0.35">
      <c r="A603" s="19" t="str">
        <f t="shared" si="27"/>
        <v/>
      </c>
      <c r="B603" s="20"/>
      <c r="C603" s="20"/>
      <c r="S603" s="21"/>
      <c r="T603" s="21"/>
      <c r="U603" s="21"/>
      <c r="V603" s="22" t="str">
        <f t="shared" si="28"/>
        <v/>
      </c>
      <c r="W603" s="23" t="str">
        <f t="shared" si="29"/>
        <v/>
      </c>
    </row>
    <row r="604" spans="1:23" x14ac:dyDescent="0.35">
      <c r="A604" s="19" t="str">
        <f t="shared" si="27"/>
        <v/>
      </c>
      <c r="B604" s="20"/>
      <c r="C604" s="20"/>
      <c r="S604" s="21"/>
      <c r="T604" s="21"/>
      <c r="U604" s="21"/>
      <c r="V604" s="22" t="str">
        <f t="shared" si="28"/>
        <v/>
      </c>
      <c r="W604" s="23" t="str">
        <f t="shared" si="29"/>
        <v/>
      </c>
    </row>
    <row r="605" spans="1:23" x14ac:dyDescent="0.35">
      <c r="A605" s="19" t="str">
        <f t="shared" si="27"/>
        <v/>
      </c>
      <c r="B605" s="20"/>
      <c r="C605" s="20"/>
      <c r="S605" s="21"/>
      <c r="T605" s="21"/>
      <c r="U605" s="21"/>
      <c r="V605" s="22" t="str">
        <f t="shared" si="28"/>
        <v/>
      </c>
      <c r="W605" s="23" t="str">
        <f t="shared" si="29"/>
        <v/>
      </c>
    </row>
    <row r="606" spans="1:23" x14ac:dyDescent="0.35">
      <c r="A606" s="19" t="str">
        <f t="shared" si="27"/>
        <v/>
      </c>
      <c r="B606" s="20"/>
      <c r="C606" s="20"/>
      <c r="S606" s="21"/>
      <c r="T606" s="21"/>
      <c r="U606" s="21"/>
      <c r="V606" s="22" t="str">
        <f t="shared" si="28"/>
        <v/>
      </c>
      <c r="W606" s="23" t="str">
        <f t="shared" si="29"/>
        <v/>
      </c>
    </row>
    <row r="607" spans="1:23" x14ac:dyDescent="0.35">
      <c r="A607" s="19" t="str">
        <f t="shared" si="27"/>
        <v/>
      </c>
      <c r="B607" s="20"/>
      <c r="C607" s="20"/>
      <c r="S607" s="21"/>
      <c r="T607" s="21"/>
      <c r="U607" s="21"/>
      <c r="V607" s="22" t="str">
        <f t="shared" si="28"/>
        <v/>
      </c>
      <c r="W607" s="23" t="str">
        <f t="shared" si="29"/>
        <v/>
      </c>
    </row>
    <row r="608" spans="1:23" x14ac:dyDescent="0.35">
      <c r="A608" s="19" t="str">
        <f t="shared" si="27"/>
        <v/>
      </c>
      <c r="B608" s="20"/>
      <c r="C608" s="20"/>
      <c r="S608" s="21"/>
      <c r="T608" s="21"/>
      <c r="U608" s="21"/>
      <c r="V608" s="22" t="str">
        <f t="shared" si="28"/>
        <v/>
      </c>
      <c r="W608" s="23" t="str">
        <f t="shared" si="29"/>
        <v/>
      </c>
    </row>
    <row r="609" spans="1:23" x14ac:dyDescent="0.35">
      <c r="A609" s="19" t="str">
        <f t="shared" si="27"/>
        <v/>
      </c>
      <c r="B609" s="20"/>
      <c r="C609" s="20"/>
      <c r="S609" s="21"/>
      <c r="T609" s="21"/>
      <c r="U609" s="21"/>
      <c r="V609" s="22" t="str">
        <f t="shared" si="28"/>
        <v/>
      </c>
      <c r="W609" s="23" t="str">
        <f t="shared" si="29"/>
        <v/>
      </c>
    </row>
    <row r="610" spans="1:23" x14ac:dyDescent="0.35">
      <c r="A610" s="19" t="str">
        <f t="shared" si="27"/>
        <v/>
      </c>
      <c r="B610" s="20"/>
      <c r="C610" s="20"/>
      <c r="S610" s="21"/>
      <c r="T610" s="21"/>
      <c r="U610" s="21"/>
      <c r="V610" s="22" t="str">
        <f t="shared" si="28"/>
        <v/>
      </c>
      <c r="W610" s="23" t="str">
        <f t="shared" si="29"/>
        <v/>
      </c>
    </row>
    <row r="611" spans="1:23" x14ac:dyDescent="0.35">
      <c r="A611" s="19" t="str">
        <f t="shared" si="27"/>
        <v/>
      </c>
      <c r="B611" s="20"/>
      <c r="C611" s="20"/>
      <c r="S611" s="21"/>
      <c r="T611" s="21"/>
      <c r="U611" s="21"/>
      <c r="V611" s="22" t="str">
        <f t="shared" si="28"/>
        <v/>
      </c>
      <c r="W611" s="23" t="str">
        <f t="shared" si="29"/>
        <v/>
      </c>
    </row>
    <row r="612" spans="1:23" x14ac:dyDescent="0.35">
      <c r="A612" s="19" t="str">
        <f t="shared" si="27"/>
        <v/>
      </c>
      <c r="B612" s="20"/>
      <c r="C612" s="20"/>
      <c r="S612" s="21"/>
      <c r="T612" s="21"/>
      <c r="U612" s="21"/>
      <c r="V612" s="22" t="str">
        <f t="shared" si="28"/>
        <v/>
      </c>
      <c r="W612" s="23" t="str">
        <f t="shared" si="29"/>
        <v/>
      </c>
    </row>
    <row r="613" spans="1:23" x14ac:dyDescent="0.35">
      <c r="A613" s="19" t="str">
        <f t="shared" si="27"/>
        <v/>
      </c>
      <c r="B613" s="20"/>
      <c r="C613" s="20"/>
      <c r="S613" s="21"/>
      <c r="T613" s="21"/>
      <c r="U613" s="21"/>
      <c r="V613" s="22" t="str">
        <f t="shared" si="28"/>
        <v/>
      </c>
      <c r="W613" s="23" t="str">
        <f t="shared" si="29"/>
        <v/>
      </c>
    </row>
    <row r="614" spans="1:23" x14ac:dyDescent="0.35">
      <c r="A614" s="19" t="str">
        <f t="shared" si="27"/>
        <v/>
      </c>
      <c r="B614" s="20"/>
      <c r="C614" s="20"/>
      <c r="S614" s="21"/>
      <c r="T614" s="21"/>
      <c r="U614" s="21"/>
      <c r="V614" s="22" t="str">
        <f t="shared" si="28"/>
        <v/>
      </c>
      <c r="W614" s="23" t="str">
        <f t="shared" si="29"/>
        <v/>
      </c>
    </row>
    <row r="615" spans="1:23" x14ac:dyDescent="0.35">
      <c r="A615" s="19" t="str">
        <f t="shared" si="27"/>
        <v/>
      </c>
      <c r="B615" s="20"/>
      <c r="C615" s="20"/>
      <c r="S615" s="21"/>
      <c r="T615" s="21"/>
      <c r="U615" s="21"/>
      <c r="V615" s="22" t="str">
        <f t="shared" si="28"/>
        <v/>
      </c>
      <c r="W615" s="23" t="str">
        <f t="shared" si="29"/>
        <v/>
      </c>
    </row>
    <row r="616" spans="1:23" x14ac:dyDescent="0.35">
      <c r="A616" s="19" t="str">
        <f t="shared" si="27"/>
        <v/>
      </c>
      <c r="B616" s="20"/>
      <c r="C616" s="20"/>
      <c r="S616" s="21"/>
      <c r="T616" s="21"/>
      <c r="U616" s="21"/>
      <c r="V616" s="22" t="str">
        <f t="shared" si="28"/>
        <v/>
      </c>
      <c r="W616" s="23" t="str">
        <f t="shared" si="29"/>
        <v/>
      </c>
    </row>
    <row r="617" spans="1:23" x14ac:dyDescent="0.35">
      <c r="A617" s="19" t="str">
        <f t="shared" si="27"/>
        <v/>
      </c>
      <c r="B617" s="20"/>
      <c r="C617" s="20"/>
      <c r="S617" s="21"/>
      <c r="T617" s="21"/>
      <c r="U617" s="21"/>
      <c r="V617" s="22" t="str">
        <f t="shared" si="28"/>
        <v/>
      </c>
      <c r="W617" s="23" t="str">
        <f t="shared" si="29"/>
        <v/>
      </c>
    </row>
    <row r="618" spans="1:23" x14ac:dyDescent="0.35">
      <c r="A618" s="19" t="str">
        <f t="shared" si="27"/>
        <v/>
      </c>
      <c r="B618" s="20"/>
      <c r="C618" s="20"/>
      <c r="S618" s="21"/>
      <c r="T618" s="21"/>
      <c r="U618" s="21"/>
      <c r="V618" s="22" t="str">
        <f t="shared" si="28"/>
        <v/>
      </c>
      <c r="W618" s="23" t="str">
        <f t="shared" si="29"/>
        <v/>
      </c>
    </row>
    <row r="619" spans="1:23" x14ac:dyDescent="0.35">
      <c r="A619" s="19" t="str">
        <f t="shared" si="27"/>
        <v/>
      </c>
      <c r="B619" s="20"/>
      <c r="C619" s="20"/>
      <c r="S619" s="21"/>
      <c r="T619" s="21"/>
      <c r="U619" s="21"/>
      <c r="V619" s="22" t="str">
        <f t="shared" si="28"/>
        <v/>
      </c>
      <c r="W619" s="23" t="str">
        <f t="shared" si="29"/>
        <v/>
      </c>
    </row>
    <row r="620" spans="1:23" x14ac:dyDescent="0.35">
      <c r="A620" s="19" t="str">
        <f t="shared" si="27"/>
        <v/>
      </c>
      <c r="B620" s="20"/>
      <c r="C620" s="20"/>
      <c r="S620" s="21"/>
      <c r="T620" s="21"/>
      <c r="U620" s="21"/>
      <c r="V620" s="22" t="str">
        <f t="shared" si="28"/>
        <v/>
      </c>
      <c r="W620" s="23" t="str">
        <f t="shared" si="29"/>
        <v/>
      </c>
    </row>
    <row r="621" spans="1:23" x14ac:dyDescent="0.35">
      <c r="A621" s="19" t="str">
        <f t="shared" si="27"/>
        <v/>
      </c>
      <c r="B621" s="20"/>
      <c r="C621" s="20"/>
      <c r="S621" s="21"/>
      <c r="T621" s="21"/>
      <c r="U621" s="21"/>
      <c r="V621" s="22" t="str">
        <f t="shared" si="28"/>
        <v/>
      </c>
      <c r="W621" s="23" t="str">
        <f t="shared" si="29"/>
        <v/>
      </c>
    </row>
    <row r="622" spans="1:23" x14ac:dyDescent="0.35">
      <c r="A622" s="19" t="str">
        <f t="shared" si="27"/>
        <v/>
      </c>
      <c r="B622" s="20"/>
      <c r="C622" s="20"/>
      <c r="S622" s="21"/>
      <c r="T622" s="21"/>
      <c r="U622" s="21"/>
      <c r="V622" s="22" t="str">
        <f t="shared" si="28"/>
        <v/>
      </c>
      <c r="W622" s="23" t="str">
        <f t="shared" si="29"/>
        <v/>
      </c>
    </row>
    <row r="623" spans="1:23" x14ac:dyDescent="0.35">
      <c r="A623" s="19" t="str">
        <f t="shared" si="27"/>
        <v/>
      </c>
      <c r="B623" s="20"/>
      <c r="C623" s="20"/>
      <c r="S623" s="21"/>
      <c r="T623" s="21"/>
      <c r="U623" s="21"/>
      <c r="V623" s="22" t="str">
        <f t="shared" si="28"/>
        <v/>
      </c>
      <c r="W623" s="23" t="str">
        <f t="shared" si="29"/>
        <v/>
      </c>
    </row>
    <row r="624" spans="1:23" x14ac:dyDescent="0.35">
      <c r="A624" s="19" t="str">
        <f t="shared" si="27"/>
        <v/>
      </c>
      <c r="B624" s="20"/>
      <c r="C624" s="20"/>
      <c r="S624" s="21"/>
      <c r="T624" s="21"/>
      <c r="U624" s="21"/>
      <c r="V624" s="22" t="str">
        <f t="shared" si="28"/>
        <v/>
      </c>
      <c r="W624" s="23" t="str">
        <f t="shared" si="29"/>
        <v/>
      </c>
    </row>
    <row r="625" spans="1:23" x14ac:dyDescent="0.35">
      <c r="A625" s="19" t="str">
        <f t="shared" si="27"/>
        <v/>
      </c>
      <c r="B625" s="20"/>
      <c r="C625" s="20"/>
      <c r="S625" s="21"/>
      <c r="T625" s="21"/>
      <c r="U625" s="21"/>
      <c r="V625" s="22" t="str">
        <f t="shared" si="28"/>
        <v/>
      </c>
      <c r="W625" s="23" t="str">
        <f t="shared" si="29"/>
        <v/>
      </c>
    </row>
    <row r="626" spans="1:23" x14ac:dyDescent="0.35">
      <c r="A626" s="19" t="str">
        <f t="shared" si="27"/>
        <v/>
      </c>
      <c r="B626" s="20"/>
      <c r="C626" s="20"/>
      <c r="S626" s="21"/>
      <c r="T626" s="21"/>
      <c r="U626" s="21"/>
      <c r="V626" s="22" t="str">
        <f t="shared" si="28"/>
        <v/>
      </c>
      <c r="W626" s="23" t="str">
        <f t="shared" si="29"/>
        <v/>
      </c>
    </row>
    <row r="627" spans="1:23" x14ac:dyDescent="0.35">
      <c r="A627" s="19" t="str">
        <f t="shared" si="27"/>
        <v/>
      </c>
      <c r="B627" s="20"/>
      <c r="C627" s="20"/>
      <c r="S627" s="21"/>
      <c r="T627" s="21"/>
      <c r="U627" s="21"/>
      <c r="V627" s="22" t="str">
        <f t="shared" si="28"/>
        <v/>
      </c>
      <c r="W627" s="23" t="str">
        <f t="shared" si="29"/>
        <v/>
      </c>
    </row>
    <row r="628" spans="1:23" x14ac:dyDescent="0.35">
      <c r="A628" s="19" t="str">
        <f t="shared" si="27"/>
        <v/>
      </c>
      <c r="B628" s="20"/>
      <c r="C628" s="20"/>
      <c r="S628" s="21"/>
      <c r="T628" s="21"/>
      <c r="U628" s="21"/>
      <c r="V628" s="22" t="str">
        <f t="shared" si="28"/>
        <v/>
      </c>
      <c r="W628" s="23" t="str">
        <f t="shared" si="29"/>
        <v/>
      </c>
    </row>
    <row r="629" spans="1:23" x14ac:dyDescent="0.35">
      <c r="A629" s="19" t="str">
        <f t="shared" si="27"/>
        <v/>
      </c>
      <c r="B629" s="20"/>
      <c r="C629" s="20"/>
      <c r="S629" s="21"/>
      <c r="T629" s="21"/>
      <c r="U629" s="21"/>
      <c r="V629" s="22" t="str">
        <f t="shared" si="28"/>
        <v/>
      </c>
      <c r="W629" s="23" t="str">
        <f t="shared" si="29"/>
        <v/>
      </c>
    </row>
    <row r="630" spans="1:23" x14ac:dyDescent="0.35">
      <c r="A630" s="19" t="str">
        <f t="shared" si="27"/>
        <v/>
      </c>
      <c r="B630" s="20"/>
      <c r="C630" s="20"/>
      <c r="S630" s="21"/>
      <c r="T630" s="21"/>
      <c r="U630" s="21"/>
      <c r="V630" s="22" t="str">
        <f t="shared" si="28"/>
        <v/>
      </c>
      <c r="W630" s="23" t="str">
        <f t="shared" si="29"/>
        <v/>
      </c>
    </row>
    <row r="631" spans="1:23" x14ac:dyDescent="0.35">
      <c r="A631" s="19" t="str">
        <f t="shared" si="27"/>
        <v/>
      </c>
      <c r="B631" s="20"/>
      <c r="C631" s="20"/>
      <c r="S631" s="21"/>
      <c r="T631" s="21"/>
      <c r="U631" s="21"/>
      <c r="V631" s="22" t="str">
        <f t="shared" si="28"/>
        <v/>
      </c>
      <c r="W631" s="23" t="str">
        <f t="shared" si="29"/>
        <v/>
      </c>
    </row>
    <row r="632" spans="1:23" x14ac:dyDescent="0.35">
      <c r="A632" s="19" t="str">
        <f t="shared" si="27"/>
        <v/>
      </c>
      <c r="B632" s="20"/>
      <c r="C632" s="20"/>
      <c r="S632" s="21"/>
      <c r="T632" s="21"/>
      <c r="U632" s="21"/>
      <c r="V632" s="22" t="str">
        <f t="shared" si="28"/>
        <v/>
      </c>
      <c r="W632" s="23" t="str">
        <f t="shared" si="29"/>
        <v/>
      </c>
    </row>
    <row r="633" spans="1:23" x14ac:dyDescent="0.35">
      <c r="A633" s="19" t="str">
        <f t="shared" si="27"/>
        <v/>
      </c>
      <c r="B633" s="20"/>
      <c r="C633" s="20"/>
      <c r="S633" s="21"/>
      <c r="T633" s="21"/>
      <c r="U633" s="21"/>
      <c r="V633" s="22" t="str">
        <f t="shared" si="28"/>
        <v/>
      </c>
      <c r="W633" s="23" t="str">
        <f t="shared" si="29"/>
        <v/>
      </c>
    </row>
    <row r="634" spans="1:23" x14ac:dyDescent="0.35">
      <c r="A634" s="19" t="str">
        <f t="shared" si="27"/>
        <v/>
      </c>
      <c r="B634" s="20"/>
      <c r="C634" s="20"/>
      <c r="S634" s="21"/>
      <c r="T634" s="21"/>
      <c r="U634" s="21"/>
      <c r="V634" s="22" t="str">
        <f t="shared" si="28"/>
        <v/>
      </c>
      <c r="W634" s="23" t="str">
        <f t="shared" si="29"/>
        <v/>
      </c>
    </row>
    <row r="635" spans="1:23" x14ac:dyDescent="0.35">
      <c r="A635" s="19" t="str">
        <f t="shared" si="27"/>
        <v/>
      </c>
      <c r="B635" s="20"/>
      <c r="C635" s="20"/>
      <c r="S635" s="21"/>
      <c r="T635" s="21"/>
      <c r="U635" s="21"/>
      <c r="V635" s="22" t="str">
        <f t="shared" si="28"/>
        <v/>
      </c>
      <c r="W635" s="23" t="str">
        <f t="shared" si="29"/>
        <v/>
      </c>
    </row>
    <row r="636" spans="1:23" x14ac:dyDescent="0.35">
      <c r="A636" s="19" t="str">
        <f t="shared" si="27"/>
        <v/>
      </c>
      <c r="B636" s="20"/>
      <c r="C636" s="20"/>
      <c r="S636" s="21"/>
      <c r="T636" s="21"/>
      <c r="U636" s="21"/>
      <c r="V636" s="22" t="str">
        <f t="shared" si="28"/>
        <v/>
      </c>
      <c r="W636" s="23" t="str">
        <f t="shared" si="29"/>
        <v/>
      </c>
    </row>
    <row r="637" spans="1:23" x14ac:dyDescent="0.35">
      <c r="A637" s="19" t="str">
        <f t="shared" si="27"/>
        <v/>
      </c>
      <c r="B637" s="20"/>
      <c r="C637" s="20"/>
      <c r="S637" s="21"/>
      <c r="T637" s="21"/>
      <c r="U637" s="21"/>
      <c r="V637" s="22" t="str">
        <f t="shared" si="28"/>
        <v/>
      </c>
      <c r="W637" s="23" t="str">
        <f t="shared" si="29"/>
        <v/>
      </c>
    </row>
    <row r="638" spans="1:23" x14ac:dyDescent="0.35">
      <c r="A638" s="19" t="str">
        <f t="shared" si="27"/>
        <v/>
      </c>
      <c r="B638" s="20"/>
      <c r="C638" s="20"/>
      <c r="S638" s="21"/>
      <c r="T638" s="21"/>
      <c r="U638" s="21"/>
      <c r="V638" s="22" t="str">
        <f t="shared" si="28"/>
        <v/>
      </c>
      <c r="W638" s="23" t="str">
        <f t="shared" si="29"/>
        <v/>
      </c>
    </row>
    <row r="639" spans="1:23" x14ac:dyDescent="0.35">
      <c r="A639" s="19" t="str">
        <f t="shared" si="27"/>
        <v/>
      </c>
      <c r="B639" s="20"/>
      <c r="C639" s="20"/>
      <c r="S639" s="21"/>
      <c r="T639" s="21"/>
      <c r="U639" s="21"/>
      <c r="V639" s="22" t="str">
        <f t="shared" si="28"/>
        <v/>
      </c>
      <c r="W639" s="23" t="str">
        <f t="shared" si="29"/>
        <v/>
      </c>
    </row>
    <row r="640" spans="1:23" x14ac:dyDescent="0.35">
      <c r="A640" s="19" t="str">
        <f t="shared" si="27"/>
        <v/>
      </c>
      <c r="B640" s="20"/>
      <c r="C640" s="20"/>
      <c r="S640" s="21"/>
      <c r="T640" s="21"/>
      <c r="U640" s="21"/>
      <c r="V640" s="22" t="str">
        <f t="shared" si="28"/>
        <v/>
      </c>
      <c r="W640" s="23" t="str">
        <f t="shared" si="29"/>
        <v/>
      </c>
    </row>
    <row r="641" spans="1:23" x14ac:dyDescent="0.35">
      <c r="A641" s="19" t="str">
        <f t="shared" si="27"/>
        <v/>
      </c>
      <c r="B641" s="20"/>
      <c r="C641" s="20"/>
      <c r="S641" s="21"/>
      <c r="T641" s="21"/>
      <c r="U641" s="21"/>
      <c r="V641" s="22" t="str">
        <f t="shared" si="28"/>
        <v/>
      </c>
      <c r="W641" s="23" t="str">
        <f t="shared" si="29"/>
        <v/>
      </c>
    </row>
    <row r="642" spans="1:23" x14ac:dyDescent="0.35">
      <c r="A642" s="19" t="str">
        <f t="shared" ref="A642:A705" si="30">IF($B642="","",Prefixo&amp;"-"&amp;TEXT(ROW()-1,"0000"))</f>
        <v/>
      </c>
      <c r="B642" s="20"/>
      <c r="C642" s="20"/>
      <c r="S642" s="21"/>
      <c r="T642" s="21"/>
      <c r="U642" s="21"/>
      <c r="V642" s="22" t="str">
        <f t="shared" ref="V642:V705" si="31">IF($T642&gt;0,$T642-$U642,"")</f>
        <v/>
      </c>
      <c r="W642" s="23" t="str">
        <f t="shared" ref="W642:W705" si="32">IF($T642&gt;0,($T642-$U642)/$T642,"")</f>
        <v/>
      </c>
    </row>
    <row r="643" spans="1:23" x14ac:dyDescent="0.35">
      <c r="A643" s="19" t="str">
        <f t="shared" si="30"/>
        <v/>
      </c>
      <c r="B643" s="20"/>
      <c r="C643" s="20"/>
      <c r="S643" s="21"/>
      <c r="T643" s="21"/>
      <c r="U643" s="21"/>
      <c r="V643" s="22" t="str">
        <f t="shared" si="31"/>
        <v/>
      </c>
      <c r="W643" s="23" t="str">
        <f t="shared" si="32"/>
        <v/>
      </c>
    </row>
    <row r="644" spans="1:23" x14ac:dyDescent="0.35">
      <c r="A644" s="19" t="str">
        <f t="shared" si="30"/>
        <v/>
      </c>
      <c r="B644" s="20"/>
      <c r="C644" s="20"/>
      <c r="S644" s="21"/>
      <c r="T644" s="21"/>
      <c r="U644" s="21"/>
      <c r="V644" s="22" t="str">
        <f t="shared" si="31"/>
        <v/>
      </c>
      <c r="W644" s="23" t="str">
        <f t="shared" si="32"/>
        <v/>
      </c>
    </row>
    <row r="645" spans="1:23" x14ac:dyDescent="0.35">
      <c r="A645" s="19" t="str">
        <f t="shared" si="30"/>
        <v/>
      </c>
      <c r="B645" s="20"/>
      <c r="C645" s="20"/>
      <c r="S645" s="21"/>
      <c r="T645" s="21"/>
      <c r="U645" s="21"/>
      <c r="V645" s="22" t="str">
        <f t="shared" si="31"/>
        <v/>
      </c>
      <c r="W645" s="23" t="str">
        <f t="shared" si="32"/>
        <v/>
      </c>
    </row>
    <row r="646" spans="1:23" x14ac:dyDescent="0.35">
      <c r="A646" s="19" t="str">
        <f t="shared" si="30"/>
        <v/>
      </c>
      <c r="B646" s="20"/>
      <c r="C646" s="20"/>
      <c r="S646" s="21"/>
      <c r="T646" s="21"/>
      <c r="U646" s="21"/>
      <c r="V646" s="22" t="str">
        <f t="shared" si="31"/>
        <v/>
      </c>
      <c r="W646" s="23" t="str">
        <f t="shared" si="32"/>
        <v/>
      </c>
    </row>
    <row r="647" spans="1:23" x14ac:dyDescent="0.35">
      <c r="A647" s="19" t="str">
        <f t="shared" si="30"/>
        <v/>
      </c>
      <c r="B647" s="20"/>
      <c r="C647" s="20"/>
      <c r="S647" s="21"/>
      <c r="T647" s="21"/>
      <c r="U647" s="21"/>
      <c r="V647" s="22" t="str">
        <f t="shared" si="31"/>
        <v/>
      </c>
      <c r="W647" s="23" t="str">
        <f t="shared" si="32"/>
        <v/>
      </c>
    </row>
    <row r="648" spans="1:23" x14ac:dyDescent="0.35">
      <c r="A648" s="19" t="str">
        <f t="shared" si="30"/>
        <v/>
      </c>
      <c r="B648" s="20"/>
      <c r="C648" s="20"/>
      <c r="S648" s="21"/>
      <c r="T648" s="21"/>
      <c r="U648" s="21"/>
      <c r="V648" s="22" t="str">
        <f t="shared" si="31"/>
        <v/>
      </c>
      <c r="W648" s="23" t="str">
        <f t="shared" si="32"/>
        <v/>
      </c>
    </row>
    <row r="649" spans="1:23" x14ac:dyDescent="0.35">
      <c r="A649" s="19" t="str">
        <f t="shared" si="30"/>
        <v/>
      </c>
      <c r="B649" s="20"/>
      <c r="C649" s="20"/>
      <c r="S649" s="21"/>
      <c r="T649" s="21"/>
      <c r="U649" s="21"/>
      <c r="V649" s="22" t="str">
        <f t="shared" si="31"/>
        <v/>
      </c>
      <c r="W649" s="23" t="str">
        <f t="shared" si="32"/>
        <v/>
      </c>
    </row>
    <row r="650" spans="1:23" x14ac:dyDescent="0.35">
      <c r="A650" s="19" t="str">
        <f t="shared" si="30"/>
        <v/>
      </c>
      <c r="B650" s="20"/>
      <c r="C650" s="20"/>
      <c r="S650" s="21"/>
      <c r="T650" s="21"/>
      <c r="U650" s="21"/>
      <c r="V650" s="22" t="str">
        <f t="shared" si="31"/>
        <v/>
      </c>
      <c r="W650" s="23" t="str">
        <f t="shared" si="32"/>
        <v/>
      </c>
    </row>
    <row r="651" spans="1:23" x14ac:dyDescent="0.35">
      <c r="A651" s="19" t="str">
        <f t="shared" si="30"/>
        <v/>
      </c>
      <c r="B651" s="20"/>
      <c r="C651" s="20"/>
      <c r="S651" s="21"/>
      <c r="T651" s="21"/>
      <c r="U651" s="21"/>
      <c r="V651" s="22" t="str">
        <f t="shared" si="31"/>
        <v/>
      </c>
      <c r="W651" s="23" t="str">
        <f t="shared" si="32"/>
        <v/>
      </c>
    </row>
    <row r="652" spans="1:23" x14ac:dyDescent="0.35">
      <c r="A652" s="19" t="str">
        <f t="shared" si="30"/>
        <v/>
      </c>
      <c r="B652" s="20"/>
      <c r="C652" s="20"/>
      <c r="S652" s="21"/>
      <c r="T652" s="21"/>
      <c r="U652" s="21"/>
      <c r="V652" s="22" t="str">
        <f t="shared" si="31"/>
        <v/>
      </c>
      <c r="W652" s="23" t="str">
        <f t="shared" si="32"/>
        <v/>
      </c>
    </row>
    <row r="653" spans="1:23" x14ac:dyDescent="0.35">
      <c r="A653" s="19" t="str">
        <f t="shared" si="30"/>
        <v/>
      </c>
      <c r="B653" s="20"/>
      <c r="C653" s="20"/>
      <c r="S653" s="21"/>
      <c r="T653" s="21"/>
      <c r="U653" s="21"/>
      <c r="V653" s="22" t="str">
        <f t="shared" si="31"/>
        <v/>
      </c>
      <c r="W653" s="23" t="str">
        <f t="shared" si="32"/>
        <v/>
      </c>
    </row>
    <row r="654" spans="1:23" x14ac:dyDescent="0.35">
      <c r="A654" s="19" t="str">
        <f t="shared" si="30"/>
        <v/>
      </c>
      <c r="B654" s="20"/>
      <c r="C654" s="20"/>
      <c r="S654" s="21"/>
      <c r="T654" s="21"/>
      <c r="U654" s="21"/>
      <c r="V654" s="22" t="str">
        <f t="shared" si="31"/>
        <v/>
      </c>
      <c r="W654" s="23" t="str">
        <f t="shared" si="32"/>
        <v/>
      </c>
    </row>
    <row r="655" spans="1:23" x14ac:dyDescent="0.35">
      <c r="A655" s="19" t="str">
        <f t="shared" si="30"/>
        <v/>
      </c>
      <c r="B655" s="20"/>
      <c r="C655" s="20"/>
      <c r="S655" s="21"/>
      <c r="T655" s="21"/>
      <c r="U655" s="21"/>
      <c r="V655" s="22" t="str">
        <f t="shared" si="31"/>
        <v/>
      </c>
      <c r="W655" s="23" t="str">
        <f t="shared" si="32"/>
        <v/>
      </c>
    </row>
    <row r="656" spans="1:23" x14ac:dyDescent="0.35">
      <c r="A656" s="19" t="str">
        <f t="shared" si="30"/>
        <v/>
      </c>
      <c r="B656" s="20"/>
      <c r="C656" s="20"/>
      <c r="S656" s="21"/>
      <c r="T656" s="21"/>
      <c r="U656" s="21"/>
      <c r="V656" s="22" t="str">
        <f t="shared" si="31"/>
        <v/>
      </c>
      <c r="W656" s="23" t="str">
        <f t="shared" si="32"/>
        <v/>
      </c>
    </row>
    <row r="657" spans="1:23" x14ac:dyDescent="0.35">
      <c r="A657" s="19" t="str">
        <f t="shared" si="30"/>
        <v/>
      </c>
      <c r="B657" s="20"/>
      <c r="C657" s="20"/>
      <c r="S657" s="21"/>
      <c r="T657" s="21"/>
      <c r="U657" s="21"/>
      <c r="V657" s="22" t="str">
        <f t="shared" si="31"/>
        <v/>
      </c>
      <c r="W657" s="23" t="str">
        <f t="shared" si="32"/>
        <v/>
      </c>
    </row>
    <row r="658" spans="1:23" x14ac:dyDescent="0.35">
      <c r="A658" s="19" t="str">
        <f t="shared" si="30"/>
        <v/>
      </c>
      <c r="B658" s="20"/>
      <c r="C658" s="20"/>
      <c r="S658" s="21"/>
      <c r="T658" s="21"/>
      <c r="U658" s="21"/>
      <c r="V658" s="22" t="str">
        <f t="shared" si="31"/>
        <v/>
      </c>
      <c r="W658" s="23" t="str">
        <f t="shared" si="32"/>
        <v/>
      </c>
    </row>
    <row r="659" spans="1:23" x14ac:dyDescent="0.35">
      <c r="A659" s="19" t="str">
        <f t="shared" si="30"/>
        <v/>
      </c>
      <c r="B659" s="20"/>
      <c r="C659" s="20"/>
      <c r="S659" s="21"/>
      <c r="T659" s="21"/>
      <c r="U659" s="21"/>
      <c r="V659" s="22" t="str">
        <f t="shared" si="31"/>
        <v/>
      </c>
      <c r="W659" s="23" t="str">
        <f t="shared" si="32"/>
        <v/>
      </c>
    </row>
    <row r="660" spans="1:23" x14ac:dyDescent="0.35">
      <c r="A660" s="19" t="str">
        <f t="shared" si="30"/>
        <v/>
      </c>
      <c r="B660" s="20"/>
      <c r="C660" s="20"/>
      <c r="S660" s="21"/>
      <c r="T660" s="21"/>
      <c r="U660" s="21"/>
      <c r="V660" s="22" t="str">
        <f t="shared" si="31"/>
        <v/>
      </c>
      <c r="W660" s="23" t="str">
        <f t="shared" si="32"/>
        <v/>
      </c>
    </row>
    <row r="661" spans="1:23" x14ac:dyDescent="0.35">
      <c r="A661" s="19" t="str">
        <f t="shared" si="30"/>
        <v/>
      </c>
      <c r="B661" s="20"/>
      <c r="C661" s="20"/>
      <c r="S661" s="21"/>
      <c r="T661" s="21"/>
      <c r="U661" s="21"/>
      <c r="V661" s="22" t="str">
        <f t="shared" si="31"/>
        <v/>
      </c>
      <c r="W661" s="23" t="str">
        <f t="shared" si="32"/>
        <v/>
      </c>
    </row>
    <row r="662" spans="1:23" x14ac:dyDescent="0.35">
      <c r="A662" s="19" t="str">
        <f t="shared" si="30"/>
        <v/>
      </c>
      <c r="B662" s="20"/>
      <c r="C662" s="20"/>
      <c r="S662" s="21"/>
      <c r="T662" s="21"/>
      <c r="U662" s="21"/>
      <c r="V662" s="22" t="str">
        <f t="shared" si="31"/>
        <v/>
      </c>
      <c r="W662" s="23" t="str">
        <f t="shared" si="32"/>
        <v/>
      </c>
    </row>
    <row r="663" spans="1:23" x14ac:dyDescent="0.35">
      <c r="A663" s="19" t="str">
        <f t="shared" si="30"/>
        <v/>
      </c>
      <c r="B663" s="20"/>
      <c r="C663" s="20"/>
      <c r="S663" s="21"/>
      <c r="T663" s="21"/>
      <c r="U663" s="21"/>
      <c r="V663" s="22" t="str">
        <f t="shared" si="31"/>
        <v/>
      </c>
      <c r="W663" s="23" t="str">
        <f t="shared" si="32"/>
        <v/>
      </c>
    </row>
    <row r="664" spans="1:23" x14ac:dyDescent="0.35">
      <c r="A664" s="19" t="str">
        <f t="shared" si="30"/>
        <v/>
      </c>
      <c r="B664" s="20"/>
      <c r="C664" s="20"/>
      <c r="S664" s="21"/>
      <c r="T664" s="21"/>
      <c r="U664" s="21"/>
      <c r="V664" s="22" t="str">
        <f t="shared" si="31"/>
        <v/>
      </c>
      <c r="W664" s="23" t="str">
        <f t="shared" si="32"/>
        <v/>
      </c>
    </row>
    <row r="665" spans="1:23" x14ac:dyDescent="0.35">
      <c r="A665" s="19" t="str">
        <f t="shared" si="30"/>
        <v/>
      </c>
      <c r="B665" s="20"/>
      <c r="C665" s="20"/>
      <c r="S665" s="21"/>
      <c r="T665" s="21"/>
      <c r="U665" s="21"/>
      <c r="V665" s="22" t="str">
        <f t="shared" si="31"/>
        <v/>
      </c>
      <c r="W665" s="23" t="str">
        <f t="shared" si="32"/>
        <v/>
      </c>
    </row>
    <row r="666" spans="1:23" x14ac:dyDescent="0.35">
      <c r="A666" s="19" t="str">
        <f t="shared" si="30"/>
        <v/>
      </c>
      <c r="B666" s="20"/>
      <c r="C666" s="20"/>
      <c r="S666" s="21"/>
      <c r="T666" s="21"/>
      <c r="U666" s="21"/>
      <c r="V666" s="22" t="str">
        <f t="shared" si="31"/>
        <v/>
      </c>
      <c r="W666" s="23" t="str">
        <f t="shared" si="32"/>
        <v/>
      </c>
    </row>
    <row r="667" spans="1:23" x14ac:dyDescent="0.35">
      <c r="A667" s="19" t="str">
        <f t="shared" si="30"/>
        <v/>
      </c>
      <c r="B667" s="20"/>
      <c r="C667" s="20"/>
      <c r="S667" s="21"/>
      <c r="T667" s="21"/>
      <c r="U667" s="21"/>
      <c r="V667" s="22" t="str">
        <f t="shared" si="31"/>
        <v/>
      </c>
      <c r="W667" s="23" t="str">
        <f t="shared" si="32"/>
        <v/>
      </c>
    </row>
    <row r="668" spans="1:23" x14ac:dyDescent="0.35">
      <c r="A668" s="19" t="str">
        <f t="shared" si="30"/>
        <v/>
      </c>
      <c r="B668" s="20"/>
      <c r="C668" s="20"/>
      <c r="S668" s="21"/>
      <c r="T668" s="21"/>
      <c r="U668" s="21"/>
      <c r="V668" s="22" t="str">
        <f t="shared" si="31"/>
        <v/>
      </c>
      <c r="W668" s="23" t="str">
        <f t="shared" si="32"/>
        <v/>
      </c>
    </row>
    <row r="669" spans="1:23" x14ac:dyDescent="0.35">
      <c r="A669" s="19" t="str">
        <f t="shared" si="30"/>
        <v/>
      </c>
      <c r="B669" s="20"/>
      <c r="C669" s="20"/>
      <c r="S669" s="21"/>
      <c r="T669" s="21"/>
      <c r="U669" s="21"/>
      <c r="V669" s="22" t="str">
        <f t="shared" si="31"/>
        <v/>
      </c>
      <c r="W669" s="23" t="str">
        <f t="shared" si="32"/>
        <v/>
      </c>
    </row>
    <row r="670" spans="1:23" x14ac:dyDescent="0.35">
      <c r="A670" s="19" t="str">
        <f t="shared" si="30"/>
        <v/>
      </c>
      <c r="B670" s="20"/>
      <c r="C670" s="20"/>
      <c r="S670" s="21"/>
      <c r="T670" s="21"/>
      <c r="U670" s="21"/>
      <c r="V670" s="22" t="str">
        <f t="shared" si="31"/>
        <v/>
      </c>
      <c r="W670" s="23" t="str">
        <f t="shared" si="32"/>
        <v/>
      </c>
    </row>
    <row r="671" spans="1:23" x14ac:dyDescent="0.35">
      <c r="A671" s="19" t="str">
        <f t="shared" si="30"/>
        <v/>
      </c>
      <c r="B671" s="20"/>
      <c r="C671" s="20"/>
      <c r="S671" s="21"/>
      <c r="T671" s="21"/>
      <c r="U671" s="21"/>
      <c r="V671" s="22" t="str">
        <f t="shared" si="31"/>
        <v/>
      </c>
      <c r="W671" s="23" t="str">
        <f t="shared" si="32"/>
        <v/>
      </c>
    </row>
    <row r="672" spans="1:23" x14ac:dyDescent="0.35">
      <c r="A672" s="19" t="str">
        <f t="shared" si="30"/>
        <v/>
      </c>
      <c r="B672" s="20"/>
      <c r="C672" s="20"/>
      <c r="S672" s="21"/>
      <c r="T672" s="21"/>
      <c r="U672" s="21"/>
      <c r="V672" s="22" t="str">
        <f t="shared" si="31"/>
        <v/>
      </c>
      <c r="W672" s="23" t="str">
        <f t="shared" si="32"/>
        <v/>
      </c>
    </row>
    <row r="673" spans="1:23" x14ac:dyDescent="0.35">
      <c r="A673" s="19" t="str">
        <f t="shared" si="30"/>
        <v/>
      </c>
      <c r="B673" s="20"/>
      <c r="C673" s="20"/>
      <c r="S673" s="21"/>
      <c r="T673" s="21"/>
      <c r="U673" s="21"/>
      <c r="V673" s="22" t="str">
        <f t="shared" si="31"/>
        <v/>
      </c>
      <c r="W673" s="23" t="str">
        <f t="shared" si="32"/>
        <v/>
      </c>
    </row>
    <row r="674" spans="1:23" x14ac:dyDescent="0.35">
      <c r="A674" s="19" t="str">
        <f t="shared" si="30"/>
        <v/>
      </c>
      <c r="B674" s="20"/>
      <c r="C674" s="20"/>
      <c r="S674" s="21"/>
      <c r="T674" s="21"/>
      <c r="U674" s="21"/>
      <c r="V674" s="22" t="str">
        <f t="shared" si="31"/>
        <v/>
      </c>
      <c r="W674" s="23" t="str">
        <f t="shared" si="32"/>
        <v/>
      </c>
    </row>
    <row r="675" spans="1:23" x14ac:dyDescent="0.35">
      <c r="A675" s="19" t="str">
        <f t="shared" si="30"/>
        <v/>
      </c>
      <c r="B675" s="20"/>
      <c r="C675" s="20"/>
      <c r="S675" s="21"/>
      <c r="T675" s="21"/>
      <c r="U675" s="21"/>
      <c r="V675" s="22" t="str">
        <f t="shared" si="31"/>
        <v/>
      </c>
      <c r="W675" s="23" t="str">
        <f t="shared" si="32"/>
        <v/>
      </c>
    </row>
    <row r="676" spans="1:23" x14ac:dyDescent="0.35">
      <c r="A676" s="19" t="str">
        <f t="shared" si="30"/>
        <v/>
      </c>
      <c r="B676" s="20"/>
      <c r="C676" s="20"/>
      <c r="S676" s="21"/>
      <c r="T676" s="21"/>
      <c r="U676" s="21"/>
      <c r="V676" s="22" t="str">
        <f t="shared" si="31"/>
        <v/>
      </c>
      <c r="W676" s="23" t="str">
        <f t="shared" si="32"/>
        <v/>
      </c>
    </row>
    <row r="677" spans="1:23" x14ac:dyDescent="0.35">
      <c r="A677" s="19" t="str">
        <f t="shared" si="30"/>
        <v/>
      </c>
      <c r="B677" s="20"/>
      <c r="C677" s="20"/>
      <c r="S677" s="21"/>
      <c r="T677" s="21"/>
      <c r="U677" s="21"/>
      <c r="V677" s="22" t="str">
        <f t="shared" si="31"/>
        <v/>
      </c>
      <c r="W677" s="23" t="str">
        <f t="shared" si="32"/>
        <v/>
      </c>
    </row>
    <row r="678" spans="1:23" x14ac:dyDescent="0.35">
      <c r="A678" s="19" t="str">
        <f t="shared" si="30"/>
        <v/>
      </c>
      <c r="B678" s="20"/>
      <c r="C678" s="20"/>
      <c r="S678" s="21"/>
      <c r="T678" s="21"/>
      <c r="U678" s="21"/>
      <c r="V678" s="22" t="str">
        <f t="shared" si="31"/>
        <v/>
      </c>
      <c r="W678" s="23" t="str">
        <f t="shared" si="32"/>
        <v/>
      </c>
    </row>
    <row r="679" spans="1:23" x14ac:dyDescent="0.35">
      <c r="A679" s="19" t="str">
        <f t="shared" si="30"/>
        <v/>
      </c>
      <c r="B679" s="20"/>
      <c r="C679" s="20"/>
      <c r="S679" s="21"/>
      <c r="T679" s="21"/>
      <c r="U679" s="21"/>
      <c r="V679" s="22" t="str">
        <f t="shared" si="31"/>
        <v/>
      </c>
      <c r="W679" s="23" t="str">
        <f t="shared" si="32"/>
        <v/>
      </c>
    </row>
    <row r="680" spans="1:23" x14ac:dyDescent="0.35">
      <c r="A680" s="19" t="str">
        <f t="shared" si="30"/>
        <v/>
      </c>
      <c r="B680" s="20"/>
      <c r="C680" s="20"/>
      <c r="S680" s="21"/>
      <c r="T680" s="21"/>
      <c r="U680" s="21"/>
      <c r="V680" s="22" t="str">
        <f t="shared" si="31"/>
        <v/>
      </c>
      <c r="W680" s="23" t="str">
        <f t="shared" si="32"/>
        <v/>
      </c>
    </row>
    <row r="681" spans="1:23" x14ac:dyDescent="0.35">
      <c r="A681" s="19" t="str">
        <f t="shared" si="30"/>
        <v/>
      </c>
      <c r="B681" s="20"/>
      <c r="C681" s="20"/>
      <c r="S681" s="21"/>
      <c r="T681" s="21"/>
      <c r="U681" s="21"/>
      <c r="V681" s="22" t="str">
        <f t="shared" si="31"/>
        <v/>
      </c>
      <c r="W681" s="23" t="str">
        <f t="shared" si="32"/>
        <v/>
      </c>
    </row>
    <row r="682" spans="1:23" x14ac:dyDescent="0.35">
      <c r="A682" s="19" t="str">
        <f t="shared" si="30"/>
        <v/>
      </c>
      <c r="B682" s="20"/>
      <c r="C682" s="20"/>
      <c r="S682" s="21"/>
      <c r="T682" s="21"/>
      <c r="U682" s="21"/>
      <c r="V682" s="22" t="str">
        <f t="shared" si="31"/>
        <v/>
      </c>
      <c r="W682" s="23" t="str">
        <f t="shared" si="32"/>
        <v/>
      </c>
    </row>
    <row r="683" spans="1:23" x14ac:dyDescent="0.35">
      <c r="A683" s="19" t="str">
        <f t="shared" si="30"/>
        <v/>
      </c>
      <c r="B683" s="20"/>
      <c r="C683" s="20"/>
      <c r="S683" s="21"/>
      <c r="T683" s="21"/>
      <c r="U683" s="21"/>
      <c r="V683" s="22" t="str">
        <f t="shared" si="31"/>
        <v/>
      </c>
      <c r="W683" s="23" t="str">
        <f t="shared" si="32"/>
        <v/>
      </c>
    </row>
    <row r="684" spans="1:23" x14ac:dyDescent="0.35">
      <c r="A684" s="19" t="str">
        <f t="shared" si="30"/>
        <v/>
      </c>
      <c r="B684" s="20"/>
      <c r="C684" s="20"/>
      <c r="S684" s="21"/>
      <c r="T684" s="21"/>
      <c r="U684" s="21"/>
      <c r="V684" s="22" t="str">
        <f t="shared" si="31"/>
        <v/>
      </c>
      <c r="W684" s="23" t="str">
        <f t="shared" si="32"/>
        <v/>
      </c>
    </row>
    <row r="685" spans="1:23" x14ac:dyDescent="0.35">
      <c r="A685" s="19" t="str">
        <f t="shared" si="30"/>
        <v/>
      </c>
      <c r="B685" s="20"/>
      <c r="C685" s="20"/>
      <c r="S685" s="21"/>
      <c r="T685" s="21"/>
      <c r="U685" s="21"/>
      <c r="V685" s="22" t="str">
        <f t="shared" si="31"/>
        <v/>
      </c>
      <c r="W685" s="23" t="str">
        <f t="shared" si="32"/>
        <v/>
      </c>
    </row>
    <row r="686" spans="1:23" x14ac:dyDescent="0.35">
      <c r="A686" s="19" t="str">
        <f t="shared" si="30"/>
        <v/>
      </c>
      <c r="B686" s="20"/>
      <c r="C686" s="20"/>
      <c r="S686" s="21"/>
      <c r="T686" s="21"/>
      <c r="U686" s="21"/>
      <c r="V686" s="22" t="str">
        <f t="shared" si="31"/>
        <v/>
      </c>
      <c r="W686" s="23" t="str">
        <f t="shared" si="32"/>
        <v/>
      </c>
    </row>
    <row r="687" spans="1:23" x14ac:dyDescent="0.35">
      <c r="A687" s="19" t="str">
        <f t="shared" si="30"/>
        <v/>
      </c>
      <c r="B687" s="20"/>
      <c r="C687" s="20"/>
      <c r="S687" s="21"/>
      <c r="T687" s="21"/>
      <c r="U687" s="21"/>
      <c r="V687" s="22" t="str">
        <f t="shared" si="31"/>
        <v/>
      </c>
      <c r="W687" s="23" t="str">
        <f t="shared" si="32"/>
        <v/>
      </c>
    </row>
    <row r="688" spans="1:23" x14ac:dyDescent="0.35">
      <c r="A688" s="19" t="str">
        <f t="shared" si="30"/>
        <v/>
      </c>
      <c r="B688" s="20"/>
      <c r="C688" s="20"/>
      <c r="S688" s="21"/>
      <c r="T688" s="21"/>
      <c r="U688" s="21"/>
      <c r="V688" s="22" t="str">
        <f t="shared" si="31"/>
        <v/>
      </c>
      <c r="W688" s="23" t="str">
        <f t="shared" si="32"/>
        <v/>
      </c>
    </row>
    <row r="689" spans="1:23" x14ac:dyDescent="0.35">
      <c r="A689" s="19" t="str">
        <f t="shared" si="30"/>
        <v/>
      </c>
      <c r="B689" s="20"/>
      <c r="C689" s="20"/>
      <c r="S689" s="21"/>
      <c r="T689" s="21"/>
      <c r="U689" s="21"/>
      <c r="V689" s="22" t="str">
        <f t="shared" si="31"/>
        <v/>
      </c>
      <c r="W689" s="23" t="str">
        <f t="shared" si="32"/>
        <v/>
      </c>
    </row>
    <row r="690" spans="1:23" x14ac:dyDescent="0.35">
      <c r="A690" s="19" t="str">
        <f t="shared" si="30"/>
        <v/>
      </c>
      <c r="B690" s="20"/>
      <c r="C690" s="20"/>
      <c r="S690" s="21"/>
      <c r="T690" s="21"/>
      <c r="U690" s="21"/>
      <c r="V690" s="22" t="str">
        <f t="shared" si="31"/>
        <v/>
      </c>
      <c r="W690" s="23" t="str">
        <f t="shared" si="32"/>
        <v/>
      </c>
    </row>
    <row r="691" spans="1:23" x14ac:dyDescent="0.35">
      <c r="A691" s="19" t="str">
        <f t="shared" si="30"/>
        <v/>
      </c>
      <c r="B691" s="20"/>
      <c r="C691" s="20"/>
      <c r="S691" s="21"/>
      <c r="T691" s="21"/>
      <c r="U691" s="21"/>
      <c r="V691" s="22" t="str">
        <f t="shared" si="31"/>
        <v/>
      </c>
      <c r="W691" s="23" t="str">
        <f t="shared" si="32"/>
        <v/>
      </c>
    </row>
    <row r="692" spans="1:23" x14ac:dyDescent="0.35">
      <c r="A692" s="19" t="str">
        <f t="shared" si="30"/>
        <v/>
      </c>
      <c r="B692" s="20"/>
      <c r="C692" s="20"/>
      <c r="S692" s="21"/>
      <c r="T692" s="21"/>
      <c r="U692" s="21"/>
      <c r="V692" s="22" t="str">
        <f t="shared" si="31"/>
        <v/>
      </c>
      <c r="W692" s="23" t="str">
        <f t="shared" si="32"/>
        <v/>
      </c>
    </row>
    <row r="693" spans="1:23" x14ac:dyDescent="0.35">
      <c r="A693" s="19" t="str">
        <f t="shared" si="30"/>
        <v/>
      </c>
      <c r="B693" s="20"/>
      <c r="C693" s="20"/>
      <c r="S693" s="21"/>
      <c r="T693" s="21"/>
      <c r="U693" s="21"/>
      <c r="V693" s="22" t="str">
        <f t="shared" si="31"/>
        <v/>
      </c>
      <c r="W693" s="23" t="str">
        <f t="shared" si="32"/>
        <v/>
      </c>
    </row>
    <row r="694" spans="1:23" x14ac:dyDescent="0.35">
      <c r="A694" s="19" t="str">
        <f t="shared" si="30"/>
        <v/>
      </c>
      <c r="B694" s="20"/>
      <c r="C694" s="20"/>
      <c r="S694" s="21"/>
      <c r="T694" s="21"/>
      <c r="U694" s="21"/>
      <c r="V694" s="22" t="str">
        <f t="shared" si="31"/>
        <v/>
      </c>
      <c r="W694" s="23" t="str">
        <f t="shared" si="32"/>
        <v/>
      </c>
    </row>
    <row r="695" spans="1:23" x14ac:dyDescent="0.35">
      <c r="A695" s="19" t="str">
        <f t="shared" si="30"/>
        <v/>
      </c>
      <c r="B695" s="20"/>
      <c r="C695" s="20"/>
      <c r="S695" s="21"/>
      <c r="T695" s="21"/>
      <c r="U695" s="21"/>
      <c r="V695" s="22" t="str">
        <f t="shared" si="31"/>
        <v/>
      </c>
      <c r="W695" s="23" t="str">
        <f t="shared" si="32"/>
        <v/>
      </c>
    </row>
    <row r="696" spans="1:23" x14ac:dyDescent="0.35">
      <c r="A696" s="19" t="str">
        <f t="shared" si="30"/>
        <v/>
      </c>
      <c r="B696" s="20"/>
      <c r="C696" s="20"/>
      <c r="S696" s="21"/>
      <c r="T696" s="21"/>
      <c r="U696" s="21"/>
      <c r="V696" s="22" t="str">
        <f t="shared" si="31"/>
        <v/>
      </c>
      <c r="W696" s="23" t="str">
        <f t="shared" si="32"/>
        <v/>
      </c>
    </row>
    <row r="697" spans="1:23" x14ac:dyDescent="0.35">
      <c r="A697" s="19" t="str">
        <f t="shared" si="30"/>
        <v/>
      </c>
      <c r="B697" s="20"/>
      <c r="C697" s="20"/>
      <c r="S697" s="21"/>
      <c r="T697" s="21"/>
      <c r="U697" s="21"/>
      <c r="V697" s="22" t="str">
        <f t="shared" si="31"/>
        <v/>
      </c>
      <c r="W697" s="23" t="str">
        <f t="shared" si="32"/>
        <v/>
      </c>
    </row>
    <row r="698" spans="1:23" x14ac:dyDescent="0.35">
      <c r="A698" s="19" t="str">
        <f t="shared" si="30"/>
        <v/>
      </c>
      <c r="B698" s="20"/>
      <c r="C698" s="20"/>
      <c r="S698" s="21"/>
      <c r="T698" s="21"/>
      <c r="U698" s="21"/>
      <c r="V698" s="22" t="str">
        <f t="shared" si="31"/>
        <v/>
      </c>
      <c r="W698" s="23" t="str">
        <f t="shared" si="32"/>
        <v/>
      </c>
    </row>
    <row r="699" spans="1:23" x14ac:dyDescent="0.35">
      <c r="A699" s="19" t="str">
        <f t="shared" si="30"/>
        <v/>
      </c>
      <c r="B699" s="20"/>
      <c r="C699" s="20"/>
      <c r="S699" s="21"/>
      <c r="T699" s="21"/>
      <c r="U699" s="21"/>
      <c r="V699" s="22" t="str">
        <f t="shared" si="31"/>
        <v/>
      </c>
      <c r="W699" s="23" t="str">
        <f t="shared" si="32"/>
        <v/>
      </c>
    </row>
    <row r="700" spans="1:23" x14ac:dyDescent="0.35">
      <c r="A700" s="19" t="str">
        <f t="shared" si="30"/>
        <v/>
      </c>
      <c r="B700" s="20"/>
      <c r="C700" s="20"/>
      <c r="S700" s="21"/>
      <c r="T700" s="21"/>
      <c r="U700" s="21"/>
      <c r="V700" s="22" t="str">
        <f t="shared" si="31"/>
        <v/>
      </c>
      <c r="W700" s="23" t="str">
        <f t="shared" si="32"/>
        <v/>
      </c>
    </row>
    <row r="701" spans="1:23" x14ac:dyDescent="0.35">
      <c r="A701" s="19" t="str">
        <f t="shared" si="30"/>
        <v/>
      </c>
      <c r="B701" s="20"/>
      <c r="C701" s="20"/>
      <c r="S701" s="21"/>
      <c r="T701" s="21"/>
      <c r="U701" s="21"/>
      <c r="V701" s="22" t="str">
        <f t="shared" si="31"/>
        <v/>
      </c>
      <c r="W701" s="23" t="str">
        <f t="shared" si="32"/>
        <v/>
      </c>
    </row>
    <row r="702" spans="1:23" x14ac:dyDescent="0.35">
      <c r="A702" s="19" t="str">
        <f t="shared" si="30"/>
        <v/>
      </c>
      <c r="B702" s="20"/>
      <c r="C702" s="20"/>
      <c r="S702" s="21"/>
      <c r="T702" s="21"/>
      <c r="U702" s="21"/>
      <c r="V702" s="22" t="str">
        <f t="shared" si="31"/>
        <v/>
      </c>
      <c r="W702" s="23" t="str">
        <f t="shared" si="32"/>
        <v/>
      </c>
    </row>
    <row r="703" spans="1:23" x14ac:dyDescent="0.35">
      <c r="A703" s="19" t="str">
        <f t="shared" si="30"/>
        <v/>
      </c>
      <c r="B703" s="20"/>
      <c r="C703" s="20"/>
      <c r="S703" s="21"/>
      <c r="T703" s="21"/>
      <c r="U703" s="21"/>
      <c r="V703" s="22" t="str">
        <f t="shared" si="31"/>
        <v/>
      </c>
      <c r="W703" s="23" t="str">
        <f t="shared" si="32"/>
        <v/>
      </c>
    </row>
    <row r="704" spans="1:23" x14ac:dyDescent="0.35">
      <c r="A704" s="19" t="str">
        <f t="shared" si="30"/>
        <v/>
      </c>
      <c r="B704" s="20"/>
      <c r="C704" s="20"/>
      <c r="S704" s="21"/>
      <c r="T704" s="21"/>
      <c r="U704" s="21"/>
      <c r="V704" s="22" t="str">
        <f t="shared" si="31"/>
        <v/>
      </c>
      <c r="W704" s="23" t="str">
        <f t="shared" si="32"/>
        <v/>
      </c>
    </row>
    <row r="705" spans="1:23" x14ac:dyDescent="0.35">
      <c r="A705" s="19" t="str">
        <f t="shared" si="30"/>
        <v/>
      </c>
      <c r="B705" s="20"/>
      <c r="C705" s="20"/>
      <c r="S705" s="21"/>
      <c r="T705" s="21"/>
      <c r="U705" s="21"/>
      <c r="V705" s="22" t="str">
        <f t="shared" si="31"/>
        <v/>
      </c>
      <c r="W705" s="23" t="str">
        <f t="shared" si="32"/>
        <v/>
      </c>
    </row>
    <row r="706" spans="1:23" x14ac:dyDescent="0.35">
      <c r="A706" s="19" t="str">
        <f t="shared" ref="A706:A769" si="33">IF($B706="","",Prefixo&amp;"-"&amp;TEXT(ROW()-1,"0000"))</f>
        <v/>
      </c>
      <c r="B706" s="20"/>
      <c r="C706" s="20"/>
      <c r="S706" s="21"/>
      <c r="T706" s="21"/>
      <c r="U706" s="21"/>
      <c r="V706" s="22" t="str">
        <f t="shared" ref="V706:V769" si="34">IF($T706&gt;0,$T706-$U706,"")</f>
        <v/>
      </c>
      <c r="W706" s="23" t="str">
        <f t="shared" ref="W706:W769" si="35">IF($T706&gt;0,($T706-$U706)/$T706,"")</f>
        <v/>
      </c>
    </row>
    <row r="707" spans="1:23" x14ac:dyDescent="0.35">
      <c r="A707" s="19" t="str">
        <f t="shared" si="33"/>
        <v/>
      </c>
      <c r="B707" s="20"/>
      <c r="C707" s="20"/>
      <c r="S707" s="21"/>
      <c r="T707" s="21"/>
      <c r="U707" s="21"/>
      <c r="V707" s="22" t="str">
        <f t="shared" si="34"/>
        <v/>
      </c>
      <c r="W707" s="23" t="str">
        <f t="shared" si="35"/>
        <v/>
      </c>
    </row>
    <row r="708" spans="1:23" x14ac:dyDescent="0.35">
      <c r="A708" s="19" t="str">
        <f t="shared" si="33"/>
        <v/>
      </c>
      <c r="B708" s="20"/>
      <c r="C708" s="20"/>
      <c r="S708" s="21"/>
      <c r="T708" s="21"/>
      <c r="U708" s="21"/>
      <c r="V708" s="22" t="str">
        <f t="shared" si="34"/>
        <v/>
      </c>
      <c r="W708" s="23" t="str">
        <f t="shared" si="35"/>
        <v/>
      </c>
    </row>
    <row r="709" spans="1:23" x14ac:dyDescent="0.35">
      <c r="A709" s="19" t="str">
        <f t="shared" si="33"/>
        <v/>
      </c>
      <c r="B709" s="20"/>
      <c r="C709" s="20"/>
      <c r="S709" s="21"/>
      <c r="T709" s="21"/>
      <c r="U709" s="21"/>
      <c r="V709" s="22" t="str">
        <f t="shared" si="34"/>
        <v/>
      </c>
      <c r="W709" s="23" t="str">
        <f t="shared" si="35"/>
        <v/>
      </c>
    </row>
    <row r="710" spans="1:23" x14ac:dyDescent="0.35">
      <c r="A710" s="19" t="str">
        <f t="shared" si="33"/>
        <v/>
      </c>
      <c r="B710" s="20"/>
      <c r="C710" s="20"/>
      <c r="S710" s="21"/>
      <c r="T710" s="21"/>
      <c r="U710" s="21"/>
      <c r="V710" s="22" t="str">
        <f t="shared" si="34"/>
        <v/>
      </c>
      <c r="W710" s="23" t="str">
        <f t="shared" si="35"/>
        <v/>
      </c>
    </row>
    <row r="711" spans="1:23" x14ac:dyDescent="0.35">
      <c r="A711" s="19" t="str">
        <f t="shared" si="33"/>
        <v/>
      </c>
      <c r="B711" s="20"/>
      <c r="C711" s="20"/>
      <c r="S711" s="21"/>
      <c r="T711" s="21"/>
      <c r="U711" s="21"/>
      <c r="V711" s="22" t="str">
        <f t="shared" si="34"/>
        <v/>
      </c>
      <c r="W711" s="23" t="str">
        <f t="shared" si="35"/>
        <v/>
      </c>
    </row>
    <row r="712" spans="1:23" x14ac:dyDescent="0.35">
      <c r="A712" s="19" t="str">
        <f t="shared" si="33"/>
        <v/>
      </c>
      <c r="B712" s="20"/>
      <c r="C712" s="20"/>
      <c r="S712" s="21"/>
      <c r="T712" s="21"/>
      <c r="U712" s="21"/>
      <c r="V712" s="22" t="str">
        <f t="shared" si="34"/>
        <v/>
      </c>
      <c r="W712" s="23" t="str">
        <f t="shared" si="35"/>
        <v/>
      </c>
    </row>
    <row r="713" spans="1:23" x14ac:dyDescent="0.35">
      <c r="A713" s="19" t="str">
        <f t="shared" si="33"/>
        <v/>
      </c>
      <c r="B713" s="20"/>
      <c r="C713" s="20"/>
      <c r="S713" s="21"/>
      <c r="T713" s="21"/>
      <c r="U713" s="21"/>
      <c r="V713" s="22" t="str">
        <f t="shared" si="34"/>
        <v/>
      </c>
      <c r="W713" s="23" t="str">
        <f t="shared" si="35"/>
        <v/>
      </c>
    </row>
    <row r="714" spans="1:23" x14ac:dyDescent="0.35">
      <c r="A714" s="19" t="str">
        <f t="shared" si="33"/>
        <v/>
      </c>
      <c r="B714" s="20"/>
      <c r="C714" s="20"/>
      <c r="S714" s="21"/>
      <c r="T714" s="21"/>
      <c r="U714" s="21"/>
      <c r="V714" s="22" t="str">
        <f t="shared" si="34"/>
        <v/>
      </c>
      <c r="W714" s="23" t="str">
        <f t="shared" si="35"/>
        <v/>
      </c>
    </row>
    <row r="715" spans="1:23" x14ac:dyDescent="0.35">
      <c r="A715" s="19" t="str">
        <f t="shared" si="33"/>
        <v/>
      </c>
      <c r="B715" s="20"/>
      <c r="C715" s="20"/>
      <c r="S715" s="21"/>
      <c r="T715" s="21"/>
      <c r="U715" s="21"/>
      <c r="V715" s="22" t="str">
        <f t="shared" si="34"/>
        <v/>
      </c>
      <c r="W715" s="23" t="str">
        <f t="shared" si="35"/>
        <v/>
      </c>
    </row>
    <row r="716" spans="1:23" x14ac:dyDescent="0.35">
      <c r="A716" s="19" t="str">
        <f t="shared" si="33"/>
        <v/>
      </c>
      <c r="B716" s="20"/>
      <c r="C716" s="20"/>
      <c r="S716" s="21"/>
      <c r="T716" s="21"/>
      <c r="U716" s="21"/>
      <c r="V716" s="22" t="str">
        <f t="shared" si="34"/>
        <v/>
      </c>
      <c r="W716" s="23" t="str">
        <f t="shared" si="35"/>
        <v/>
      </c>
    </row>
    <row r="717" spans="1:23" x14ac:dyDescent="0.35">
      <c r="A717" s="19" t="str">
        <f t="shared" si="33"/>
        <v/>
      </c>
      <c r="B717" s="20"/>
      <c r="C717" s="20"/>
      <c r="S717" s="21"/>
      <c r="T717" s="21"/>
      <c r="U717" s="21"/>
      <c r="V717" s="22" t="str">
        <f t="shared" si="34"/>
        <v/>
      </c>
      <c r="W717" s="23" t="str">
        <f t="shared" si="35"/>
        <v/>
      </c>
    </row>
    <row r="718" spans="1:23" x14ac:dyDescent="0.35">
      <c r="A718" s="19" t="str">
        <f t="shared" si="33"/>
        <v/>
      </c>
      <c r="B718" s="20"/>
      <c r="C718" s="20"/>
      <c r="S718" s="21"/>
      <c r="T718" s="21"/>
      <c r="U718" s="21"/>
      <c r="V718" s="22" t="str">
        <f t="shared" si="34"/>
        <v/>
      </c>
      <c r="W718" s="23" t="str">
        <f t="shared" si="35"/>
        <v/>
      </c>
    </row>
    <row r="719" spans="1:23" x14ac:dyDescent="0.35">
      <c r="A719" s="19" t="str">
        <f t="shared" si="33"/>
        <v/>
      </c>
      <c r="B719" s="20"/>
      <c r="C719" s="20"/>
      <c r="S719" s="21"/>
      <c r="T719" s="21"/>
      <c r="U719" s="21"/>
      <c r="V719" s="22" t="str">
        <f t="shared" si="34"/>
        <v/>
      </c>
      <c r="W719" s="23" t="str">
        <f t="shared" si="35"/>
        <v/>
      </c>
    </row>
    <row r="720" spans="1:23" x14ac:dyDescent="0.35">
      <c r="A720" s="19" t="str">
        <f t="shared" si="33"/>
        <v/>
      </c>
      <c r="B720" s="20"/>
      <c r="C720" s="20"/>
      <c r="S720" s="21"/>
      <c r="T720" s="21"/>
      <c r="U720" s="21"/>
      <c r="V720" s="22" t="str">
        <f t="shared" si="34"/>
        <v/>
      </c>
      <c r="W720" s="23" t="str">
        <f t="shared" si="35"/>
        <v/>
      </c>
    </row>
    <row r="721" spans="1:23" x14ac:dyDescent="0.35">
      <c r="A721" s="19" t="str">
        <f t="shared" si="33"/>
        <v/>
      </c>
      <c r="B721" s="20"/>
      <c r="C721" s="20"/>
      <c r="S721" s="21"/>
      <c r="T721" s="21"/>
      <c r="U721" s="21"/>
      <c r="V721" s="22" t="str">
        <f t="shared" si="34"/>
        <v/>
      </c>
      <c r="W721" s="23" t="str">
        <f t="shared" si="35"/>
        <v/>
      </c>
    </row>
    <row r="722" spans="1:23" x14ac:dyDescent="0.35">
      <c r="A722" s="19" t="str">
        <f t="shared" si="33"/>
        <v/>
      </c>
      <c r="B722" s="20"/>
      <c r="C722" s="20"/>
      <c r="S722" s="21"/>
      <c r="T722" s="21"/>
      <c r="U722" s="21"/>
      <c r="V722" s="22" t="str">
        <f t="shared" si="34"/>
        <v/>
      </c>
      <c r="W722" s="23" t="str">
        <f t="shared" si="35"/>
        <v/>
      </c>
    </row>
    <row r="723" spans="1:23" x14ac:dyDescent="0.35">
      <c r="A723" s="19" t="str">
        <f t="shared" si="33"/>
        <v/>
      </c>
      <c r="B723" s="20"/>
      <c r="C723" s="20"/>
      <c r="S723" s="21"/>
      <c r="T723" s="21"/>
      <c r="U723" s="21"/>
      <c r="V723" s="22" t="str">
        <f t="shared" si="34"/>
        <v/>
      </c>
      <c r="W723" s="23" t="str">
        <f t="shared" si="35"/>
        <v/>
      </c>
    </row>
    <row r="724" spans="1:23" x14ac:dyDescent="0.35">
      <c r="A724" s="19" t="str">
        <f t="shared" si="33"/>
        <v/>
      </c>
      <c r="B724" s="20"/>
      <c r="C724" s="20"/>
      <c r="S724" s="21"/>
      <c r="T724" s="21"/>
      <c r="U724" s="21"/>
      <c r="V724" s="22" t="str">
        <f t="shared" si="34"/>
        <v/>
      </c>
      <c r="W724" s="23" t="str">
        <f t="shared" si="35"/>
        <v/>
      </c>
    </row>
    <row r="725" spans="1:23" x14ac:dyDescent="0.35">
      <c r="A725" s="19" t="str">
        <f t="shared" si="33"/>
        <v/>
      </c>
      <c r="B725" s="20"/>
      <c r="C725" s="20"/>
      <c r="S725" s="21"/>
      <c r="T725" s="21"/>
      <c r="U725" s="21"/>
      <c r="V725" s="22" t="str">
        <f t="shared" si="34"/>
        <v/>
      </c>
      <c r="W725" s="23" t="str">
        <f t="shared" si="35"/>
        <v/>
      </c>
    </row>
    <row r="726" spans="1:23" x14ac:dyDescent="0.35">
      <c r="A726" s="19" t="str">
        <f t="shared" si="33"/>
        <v/>
      </c>
      <c r="B726" s="20"/>
      <c r="C726" s="20"/>
      <c r="S726" s="21"/>
      <c r="T726" s="21"/>
      <c r="U726" s="21"/>
      <c r="V726" s="22" t="str">
        <f t="shared" si="34"/>
        <v/>
      </c>
      <c r="W726" s="23" t="str">
        <f t="shared" si="35"/>
        <v/>
      </c>
    </row>
    <row r="727" spans="1:23" x14ac:dyDescent="0.35">
      <c r="A727" s="19" t="str">
        <f t="shared" si="33"/>
        <v/>
      </c>
      <c r="B727" s="20"/>
      <c r="C727" s="20"/>
      <c r="S727" s="21"/>
      <c r="T727" s="21"/>
      <c r="U727" s="21"/>
      <c r="V727" s="22" t="str">
        <f t="shared" si="34"/>
        <v/>
      </c>
      <c r="W727" s="23" t="str">
        <f t="shared" si="35"/>
        <v/>
      </c>
    </row>
    <row r="728" spans="1:23" x14ac:dyDescent="0.35">
      <c r="A728" s="19" t="str">
        <f t="shared" si="33"/>
        <v/>
      </c>
      <c r="B728" s="20"/>
      <c r="C728" s="20"/>
      <c r="S728" s="21"/>
      <c r="T728" s="21"/>
      <c r="U728" s="21"/>
      <c r="V728" s="22" t="str">
        <f t="shared" si="34"/>
        <v/>
      </c>
      <c r="W728" s="23" t="str">
        <f t="shared" si="35"/>
        <v/>
      </c>
    </row>
    <row r="729" spans="1:23" x14ac:dyDescent="0.35">
      <c r="A729" s="19" t="str">
        <f t="shared" si="33"/>
        <v/>
      </c>
      <c r="B729" s="20"/>
      <c r="C729" s="20"/>
      <c r="S729" s="21"/>
      <c r="T729" s="21"/>
      <c r="U729" s="21"/>
      <c r="V729" s="22" t="str">
        <f t="shared" si="34"/>
        <v/>
      </c>
      <c r="W729" s="23" t="str">
        <f t="shared" si="35"/>
        <v/>
      </c>
    </row>
    <row r="730" spans="1:23" x14ac:dyDescent="0.35">
      <c r="A730" s="19" t="str">
        <f t="shared" si="33"/>
        <v/>
      </c>
      <c r="B730" s="20"/>
      <c r="C730" s="20"/>
      <c r="S730" s="21"/>
      <c r="T730" s="21"/>
      <c r="U730" s="21"/>
      <c r="V730" s="22" t="str">
        <f t="shared" si="34"/>
        <v/>
      </c>
      <c r="W730" s="23" t="str">
        <f t="shared" si="35"/>
        <v/>
      </c>
    </row>
    <row r="731" spans="1:23" x14ac:dyDescent="0.35">
      <c r="A731" s="19" t="str">
        <f t="shared" si="33"/>
        <v/>
      </c>
      <c r="B731" s="20"/>
      <c r="C731" s="20"/>
      <c r="S731" s="21"/>
      <c r="T731" s="21"/>
      <c r="U731" s="21"/>
      <c r="V731" s="22" t="str">
        <f t="shared" si="34"/>
        <v/>
      </c>
      <c r="W731" s="23" t="str">
        <f t="shared" si="35"/>
        <v/>
      </c>
    </row>
    <row r="732" spans="1:23" x14ac:dyDescent="0.35">
      <c r="A732" s="19" t="str">
        <f t="shared" si="33"/>
        <v/>
      </c>
      <c r="B732" s="20"/>
      <c r="C732" s="20"/>
      <c r="S732" s="21"/>
      <c r="T732" s="21"/>
      <c r="U732" s="21"/>
      <c r="V732" s="22" t="str">
        <f t="shared" si="34"/>
        <v/>
      </c>
      <c r="W732" s="23" t="str">
        <f t="shared" si="35"/>
        <v/>
      </c>
    </row>
    <row r="733" spans="1:23" x14ac:dyDescent="0.35">
      <c r="A733" s="19" t="str">
        <f t="shared" si="33"/>
        <v/>
      </c>
      <c r="B733" s="20"/>
      <c r="C733" s="20"/>
      <c r="S733" s="21"/>
      <c r="T733" s="21"/>
      <c r="U733" s="21"/>
      <c r="V733" s="22" t="str">
        <f t="shared" si="34"/>
        <v/>
      </c>
      <c r="W733" s="23" t="str">
        <f t="shared" si="35"/>
        <v/>
      </c>
    </row>
    <row r="734" spans="1:23" x14ac:dyDescent="0.35">
      <c r="A734" s="19" t="str">
        <f t="shared" si="33"/>
        <v/>
      </c>
      <c r="B734" s="20"/>
      <c r="C734" s="20"/>
      <c r="S734" s="21"/>
      <c r="T734" s="21"/>
      <c r="U734" s="21"/>
      <c r="V734" s="22" t="str">
        <f t="shared" si="34"/>
        <v/>
      </c>
      <c r="W734" s="23" t="str">
        <f t="shared" si="35"/>
        <v/>
      </c>
    </row>
    <row r="735" spans="1:23" x14ac:dyDescent="0.35">
      <c r="A735" s="19" t="str">
        <f t="shared" si="33"/>
        <v/>
      </c>
      <c r="B735" s="20"/>
      <c r="C735" s="20"/>
      <c r="S735" s="21"/>
      <c r="T735" s="21"/>
      <c r="U735" s="21"/>
      <c r="V735" s="22" t="str">
        <f t="shared" si="34"/>
        <v/>
      </c>
      <c r="W735" s="23" t="str">
        <f t="shared" si="35"/>
        <v/>
      </c>
    </row>
    <row r="736" spans="1:23" x14ac:dyDescent="0.35">
      <c r="A736" s="19" t="str">
        <f t="shared" si="33"/>
        <v/>
      </c>
      <c r="B736" s="20"/>
      <c r="C736" s="20"/>
      <c r="S736" s="21"/>
      <c r="T736" s="21"/>
      <c r="U736" s="21"/>
      <c r="V736" s="22" t="str">
        <f t="shared" si="34"/>
        <v/>
      </c>
      <c r="W736" s="23" t="str">
        <f t="shared" si="35"/>
        <v/>
      </c>
    </row>
    <row r="737" spans="1:23" x14ac:dyDescent="0.35">
      <c r="A737" s="19" t="str">
        <f t="shared" si="33"/>
        <v/>
      </c>
      <c r="B737" s="20"/>
      <c r="C737" s="20"/>
      <c r="S737" s="21"/>
      <c r="T737" s="21"/>
      <c r="U737" s="21"/>
      <c r="V737" s="22" t="str">
        <f t="shared" si="34"/>
        <v/>
      </c>
      <c r="W737" s="23" t="str">
        <f t="shared" si="35"/>
        <v/>
      </c>
    </row>
    <row r="738" spans="1:23" x14ac:dyDescent="0.35">
      <c r="A738" s="19" t="str">
        <f t="shared" si="33"/>
        <v/>
      </c>
      <c r="B738" s="20"/>
      <c r="C738" s="20"/>
      <c r="S738" s="21"/>
      <c r="T738" s="21"/>
      <c r="U738" s="21"/>
      <c r="V738" s="22" t="str">
        <f t="shared" si="34"/>
        <v/>
      </c>
      <c r="W738" s="23" t="str">
        <f t="shared" si="35"/>
        <v/>
      </c>
    </row>
    <row r="739" spans="1:23" x14ac:dyDescent="0.35">
      <c r="A739" s="19" t="str">
        <f t="shared" si="33"/>
        <v/>
      </c>
      <c r="B739" s="20"/>
      <c r="C739" s="20"/>
      <c r="S739" s="21"/>
      <c r="T739" s="21"/>
      <c r="U739" s="21"/>
      <c r="V739" s="22" t="str">
        <f t="shared" si="34"/>
        <v/>
      </c>
      <c r="W739" s="23" t="str">
        <f t="shared" si="35"/>
        <v/>
      </c>
    </row>
    <row r="740" spans="1:23" x14ac:dyDescent="0.35">
      <c r="A740" s="19" t="str">
        <f t="shared" si="33"/>
        <v/>
      </c>
      <c r="B740" s="20"/>
      <c r="C740" s="20"/>
      <c r="S740" s="21"/>
      <c r="T740" s="21"/>
      <c r="U740" s="21"/>
      <c r="V740" s="22" t="str">
        <f t="shared" si="34"/>
        <v/>
      </c>
      <c r="W740" s="23" t="str">
        <f t="shared" si="35"/>
        <v/>
      </c>
    </row>
    <row r="741" spans="1:23" x14ac:dyDescent="0.35">
      <c r="A741" s="19" t="str">
        <f t="shared" si="33"/>
        <v/>
      </c>
      <c r="B741" s="20"/>
      <c r="C741" s="20"/>
      <c r="S741" s="21"/>
      <c r="T741" s="21"/>
      <c r="U741" s="21"/>
      <c r="V741" s="22" t="str">
        <f t="shared" si="34"/>
        <v/>
      </c>
      <c r="W741" s="23" t="str">
        <f t="shared" si="35"/>
        <v/>
      </c>
    </row>
    <row r="742" spans="1:23" x14ac:dyDescent="0.35">
      <c r="A742" s="19" t="str">
        <f t="shared" si="33"/>
        <v/>
      </c>
      <c r="B742" s="20"/>
      <c r="C742" s="20"/>
      <c r="S742" s="21"/>
      <c r="T742" s="21"/>
      <c r="U742" s="21"/>
      <c r="V742" s="22" t="str">
        <f t="shared" si="34"/>
        <v/>
      </c>
      <c r="W742" s="23" t="str">
        <f t="shared" si="35"/>
        <v/>
      </c>
    </row>
    <row r="743" spans="1:23" x14ac:dyDescent="0.35">
      <c r="A743" s="19" t="str">
        <f t="shared" si="33"/>
        <v/>
      </c>
      <c r="B743" s="20"/>
      <c r="C743" s="20"/>
      <c r="S743" s="21"/>
      <c r="T743" s="21"/>
      <c r="U743" s="21"/>
      <c r="V743" s="22" t="str">
        <f t="shared" si="34"/>
        <v/>
      </c>
      <c r="W743" s="23" t="str">
        <f t="shared" si="35"/>
        <v/>
      </c>
    </row>
    <row r="744" spans="1:23" x14ac:dyDescent="0.35">
      <c r="A744" s="19" t="str">
        <f t="shared" si="33"/>
        <v/>
      </c>
      <c r="B744" s="20"/>
      <c r="C744" s="20"/>
      <c r="S744" s="21"/>
      <c r="T744" s="21"/>
      <c r="U744" s="21"/>
      <c r="V744" s="22" t="str">
        <f t="shared" si="34"/>
        <v/>
      </c>
      <c r="W744" s="23" t="str">
        <f t="shared" si="35"/>
        <v/>
      </c>
    </row>
    <row r="745" spans="1:23" x14ac:dyDescent="0.35">
      <c r="A745" s="19" t="str">
        <f t="shared" si="33"/>
        <v/>
      </c>
      <c r="B745" s="20"/>
      <c r="C745" s="20"/>
      <c r="S745" s="21"/>
      <c r="T745" s="21"/>
      <c r="U745" s="21"/>
      <c r="V745" s="22" t="str">
        <f t="shared" si="34"/>
        <v/>
      </c>
      <c r="W745" s="23" t="str">
        <f t="shared" si="35"/>
        <v/>
      </c>
    </row>
    <row r="746" spans="1:23" x14ac:dyDescent="0.35">
      <c r="A746" s="19" t="str">
        <f t="shared" si="33"/>
        <v/>
      </c>
      <c r="B746" s="20"/>
      <c r="C746" s="20"/>
      <c r="S746" s="21"/>
      <c r="T746" s="21"/>
      <c r="U746" s="21"/>
      <c r="V746" s="22" t="str">
        <f t="shared" si="34"/>
        <v/>
      </c>
      <c r="W746" s="23" t="str">
        <f t="shared" si="35"/>
        <v/>
      </c>
    </row>
    <row r="747" spans="1:23" x14ac:dyDescent="0.35">
      <c r="A747" s="19" t="str">
        <f t="shared" si="33"/>
        <v/>
      </c>
      <c r="B747" s="20"/>
      <c r="C747" s="20"/>
      <c r="S747" s="21"/>
      <c r="T747" s="21"/>
      <c r="U747" s="21"/>
      <c r="V747" s="22" t="str">
        <f t="shared" si="34"/>
        <v/>
      </c>
      <c r="W747" s="23" t="str">
        <f t="shared" si="35"/>
        <v/>
      </c>
    </row>
    <row r="748" spans="1:23" x14ac:dyDescent="0.35">
      <c r="A748" s="19" t="str">
        <f t="shared" si="33"/>
        <v/>
      </c>
      <c r="B748" s="20"/>
      <c r="C748" s="20"/>
      <c r="S748" s="21"/>
      <c r="T748" s="21"/>
      <c r="U748" s="21"/>
      <c r="V748" s="22" t="str">
        <f t="shared" si="34"/>
        <v/>
      </c>
      <c r="W748" s="23" t="str">
        <f t="shared" si="35"/>
        <v/>
      </c>
    </row>
    <row r="749" spans="1:23" x14ac:dyDescent="0.35">
      <c r="A749" s="19" t="str">
        <f t="shared" si="33"/>
        <v/>
      </c>
      <c r="B749" s="20"/>
      <c r="C749" s="20"/>
      <c r="S749" s="21"/>
      <c r="T749" s="21"/>
      <c r="U749" s="21"/>
      <c r="V749" s="22" t="str">
        <f t="shared" si="34"/>
        <v/>
      </c>
      <c r="W749" s="23" t="str">
        <f t="shared" si="35"/>
        <v/>
      </c>
    </row>
    <row r="750" spans="1:23" x14ac:dyDescent="0.35">
      <c r="A750" s="19" t="str">
        <f t="shared" si="33"/>
        <v/>
      </c>
      <c r="B750" s="20"/>
      <c r="C750" s="20"/>
      <c r="S750" s="21"/>
      <c r="T750" s="21"/>
      <c r="U750" s="21"/>
      <c r="V750" s="22" t="str">
        <f t="shared" si="34"/>
        <v/>
      </c>
      <c r="W750" s="23" t="str">
        <f t="shared" si="35"/>
        <v/>
      </c>
    </row>
    <row r="751" spans="1:23" x14ac:dyDescent="0.35">
      <c r="A751" s="19" t="str">
        <f t="shared" si="33"/>
        <v/>
      </c>
      <c r="B751" s="20"/>
      <c r="C751" s="20"/>
      <c r="S751" s="21"/>
      <c r="T751" s="21"/>
      <c r="U751" s="21"/>
      <c r="V751" s="22" t="str">
        <f t="shared" si="34"/>
        <v/>
      </c>
      <c r="W751" s="23" t="str">
        <f t="shared" si="35"/>
        <v/>
      </c>
    </row>
    <row r="752" spans="1:23" x14ac:dyDescent="0.35">
      <c r="A752" s="19" t="str">
        <f t="shared" si="33"/>
        <v/>
      </c>
      <c r="B752" s="20"/>
      <c r="C752" s="20"/>
      <c r="S752" s="21"/>
      <c r="T752" s="21"/>
      <c r="U752" s="21"/>
      <c r="V752" s="22" t="str">
        <f t="shared" si="34"/>
        <v/>
      </c>
      <c r="W752" s="23" t="str">
        <f t="shared" si="35"/>
        <v/>
      </c>
    </row>
    <row r="753" spans="1:23" x14ac:dyDescent="0.35">
      <c r="A753" s="19" t="str">
        <f t="shared" si="33"/>
        <v/>
      </c>
      <c r="B753" s="20"/>
      <c r="C753" s="20"/>
      <c r="S753" s="21"/>
      <c r="T753" s="21"/>
      <c r="U753" s="21"/>
      <c r="V753" s="22" t="str">
        <f t="shared" si="34"/>
        <v/>
      </c>
      <c r="W753" s="23" t="str">
        <f t="shared" si="35"/>
        <v/>
      </c>
    </row>
    <row r="754" spans="1:23" x14ac:dyDescent="0.35">
      <c r="A754" s="19" t="str">
        <f t="shared" si="33"/>
        <v/>
      </c>
      <c r="B754" s="20"/>
      <c r="C754" s="20"/>
      <c r="S754" s="21"/>
      <c r="T754" s="21"/>
      <c r="U754" s="21"/>
      <c r="V754" s="22" t="str">
        <f t="shared" si="34"/>
        <v/>
      </c>
      <c r="W754" s="23" t="str">
        <f t="shared" si="35"/>
        <v/>
      </c>
    </row>
    <row r="755" spans="1:23" x14ac:dyDescent="0.35">
      <c r="A755" s="19" t="str">
        <f t="shared" si="33"/>
        <v/>
      </c>
      <c r="B755" s="20"/>
      <c r="C755" s="20"/>
      <c r="S755" s="21"/>
      <c r="T755" s="21"/>
      <c r="U755" s="21"/>
      <c r="V755" s="22" t="str">
        <f t="shared" si="34"/>
        <v/>
      </c>
      <c r="W755" s="23" t="str">
        <f t="shared" si="35"/>
        <v/>
      </c>
    </row>
    <row r="756" spans="1:23" x14ac:dyDescent="0.35">
      <c r="A756" s="19" t="str">
        <f t="shared" si="33"/>
        <v/>
      </c>
      <c r="B756" s="20"/>
      <c r="C756" s="20"/>
      <c r="S756" s="21"/>
      <c r="T756" s="21"/>
      <c r="U756" s="21"/>
      <c r="V756" s="22" t="str">
        <f t="shared" si="34"/>
        <v/>
      </c>
      <c r="W756" s="23" t="str">
        <f t="shared" si="35"/>
        <v/>
      </c>
    </row>
    <row r="757" spans="1:23" x14ac:dyDescent="0.35">
      <c r="A757" s="19" t="str">
        <f t="shared" si="33"/>
        <v/>
      </c>
      <c r="B757" s="20"/>
      <c r="C757" s="20"/>
      <c r="S757" s="21"/>
      <c r="T757" s="21"/>
      <c r="U757" s="21"/>
      <c r="V757" s="22" t="str">
        <f t="shared" si="34"/>
        <v/>
      </c>
      <c r="W757" s="23" t="str">
        <f t="shared" si="35"/>
        <v/>
      </c>
    </row>
    <row r="758" spans="1:23" x14ac:dyDescent="0.35">
      <c r="A758" s="19" t="str">
        <f t="shared" si="33"/>
        <v/>
      </c>
      <c r="B758" s="20"/>
      <c r="C758" s="20"/>
      <c r="S758" s="21"/>
      <c r="T758" s="21"/>
      <c r="U758" s="21"/>
      <c r="V758" s="22" t="str">
        <f t="shared" si="34"/>
        <v/>
      </c>
      <c r="W758" s="23" t="str">
        <f t="shared" si="35"/>
        <v/>
      </c>
    </row>
    <row r="759" spans="1:23" x14ac:dyDescent="0.35">
      <c r="A759" s="19" t="str">
        <f t="shared" si="33"/>
        <v/>
      </c>
      <c r="B759" s="20"/>
      <c r="C759" s="20"/>
      <c r="S759" s="21"/>
      <c r="T759" s="21"/>
      <c r="U759" s="21"/>
      <c r="V759" s="22" t="str">
        <f t="shared" si="34"/>
        <v/>
      </c>
      <c r="W759" s="23" t="str">
        <f t="shared" si="35"/>
        <v/>
      </c>
    </row>
    <row r="760" spans="1:23" x14ac:dyDescent="0.35">
      <c r="A760" s="19" t="str">
        <f t="shared" si="33"/>
        <v/>
      </c>
      <c r="B760" s="20"/>
      <c r="C760" s="20"/>
      <c r="S760" s="21"/>
      <c r="T760" s="21"/>
      <c r="U760" s="21"/>
      <c r="V760" s="22" t="str">
        <f t="shared" si="34"/>
        <v/>
      </c>
      <c r="W760" s="23" t="str">
        <f t="shared" si="35"/>
        <v/>
      </c>
    </row>
    <row r="761" spans="1:23" x14ac:dyDescent="0.35">
      <c r="A761" s="19" t="str">
        <f t="shared" si="33"/>
        <v/>
      </c>
      <c r="B761" s="20"/>
      <c r="C761" s="20"/>
      <c r="S761" s="21"/>
      <c r="T761" s="21"/>
      <c r="U761" s="21"/>
      <c r="V761" s="22" t="str">
        <f t="shared" si="34"/>
        <v/>
      </c>
      <c r="W761" s="23" t="str">
        <f t="shared" si="35"/>
        <v/>
      </c>
    </row>
    <row r="762" spans="1:23" x14ac:dyDescent="0.35">
      <c r="A762" s="19" t="str">
        <f t="shared" si="33"/>
        <v/>
      </c>
      <c r="B762" s="20"/>
      <c r="C762" s="20"/>
      <c r="S762" s="21"/>
      <c r="T762" s="21"/>
      <c r="U762" s="21"/>
      <c r="V762" s="22" t="str">
        <f t="shared" si="34"/>
        <v/>
      </c>
      <c r="W762" s="23" t="str">
        <f t="shared" si="35"/>
        <v/>
      </c>
    </row>
    <row r="763" spans="1:23" x14ac:dyDescent="0.35">
      <c r="A763" s="19" t="str">
        <f t="shared" si="33"/>
        <v/>
      </c>
      <c r="B763" s="20"/>
      <c r="C763" s="20"/>
      <c r="S763" s="21"/>
      <c r="T763" s="21"/>
      <c r="U763" s="21"/>
      <c r="V763" s="22" t="str">
        <f t="shared" si="34"/>
        <v/>
      </c>
      <c r="W763" s="23" t="str">
        <f t="shared" si="35"/>
        <v/>
      </c>
    </row>
    <row r="764" spans="1:23" x14ac:dyDescent="0.35">
      <c r="A764" s="19" t="str">
        <f t="shared" si="33"/>
        <v/>
      </c>
      <c r="B764" s="20"/>
      <c r="C764" s="20"/>
      <c r="S764" s="21"/>
      <c r="T764" s="21"/>
      <c r="U764" s="21"/>
      <c r="V764" s="22" t="str">
        <f t="shared" si="34"/>
        <v/>
      </c>
      <c r="W764" s="23" t="str">
        <f t="shared" si="35"/>
        <v/>
      </c>
    </row>
    <row r="765" spans="1:23" x14ac:dyDescent="0.35">
      <c r="A765" s="19" t="str">
        <f t="shared" si="33"/>
        <v/>
      </c>
      <c r="B765" s="20"/>
      <c r="C765" s="20"/>
      <c r="S765" s="21"/>
      <c r="T765" s="21"/>
      <c r="U765" s="21"/>
      <c r="V765" s="22" t="str">
        <f t="shared" si="34"/>
        <v/>
      </c>
      <c r="W765" s="23" t="str">
        <f t="shared" si="35"/>
        <v/>
      </c>
    </row>
    <row r="766" spans="1:23" x14ac:dyDescent="0.35">
      <c r="A766" s="19" t="str">
        <f t="shared" si="33"/>
        <v/>
      </c>
      <c r="B766" s="20"/>
      <c r="C766" s="20"/>
      <c r="S766" s="21"/>
      <c r="T766" s="21"/>
      <c r="U766" s="21"/>
      <c r="V766" s="22" t="str">
        <f t="shared" si="34"/>
        <v/>
      </c>
      <c r="W766" s="23" t="str">
        <f t="shared" si="35"/>
        <v/>
      </c>
    </row>
    <row r="767" spans="1:23" x14ac:dyDescent="0.35">
      <c r="A767" s="19" t="str">
        <f t="shared" si="33"/>
        <v/>
      </c>
      <c r="B767" s="20"/>
      <c r="C767" s="20"/>
      <c r="S767" s="21"/>
      <c r="T767" s="21"/>
      <c r="U767" s="21"/>
      <c r="V767" s="22" t="str">
        <f t="shared" si="34"/>
        <v/>
      </c>
      <c r="W767" s="23" t="str">
        <f t="shared" si="35"/>
        <v/>
      </c>
    </row>
    <row r="768" spans="1:23" x14ac:dyDescent="0.35">
      <c r="A768" s="19" t="str">
        <f t="shared" si="33"/>
        <v/>
      </c>
      <c r="B768" s="20"/>
      <c r="C768" s="20"/>
      <c r="S768" s="21"/>
      <c r="T768" s="21"/>
      <c r="U768" s="21"/>
      <c r="V768" s="22" t="str">
        <f t="shared" si="34"/>
        <v/>
      </c>
      <c r="W768" s="23" t="str">
        <f t="shared" si="35"/>
        <v/>
      </c>
    </row>
    <row r="769" spans="1:23" x14ac:dyDescent="0.35">
      <c r="A769" s="19" t="str">
        <f t="shared" si="33"/>
        <v/>
      </c>
      <c r="B769" s="20"/>
      <c r="C769" s="20"/>
      <c r="S769" s="21"/>
      <c r="T769" s="21"/>
      <c r="U769" s="21"/>
      <c r="V769" s="22" t="str">
        <f t="shared" si="34"/>
        <v/>
      </c>
      <c r="W769" s="23" t="str">
        <f t="shared" si="35"/>
        <v/>
      </c>
    </row>
    <row r="770" spans="1:23" x14ac:dyDescent="0.35">
      <c r="A770" s="19" t="str">
        <f t="shared" ref="A770:A833" si="36">IF($B770="","",Prefixo&amp;"-"&amp;TEXT(ROW()-1,"0000"))</f>
        <v/>
      </c>
      <c r="B770" s="20"/>
      <c r="C770" s="20"/>
      <c r="S770" s="21"/>
      <c r="T770" s="21"/>
      <c r="U770" s="21"/>
      <c r="V770" s="22" t="str">
        <f t="shared" ref="V770:V833" si="37">IF($T770&gt;0,$T770-$U770,"")</f>
        <v/>
      </c>
      <c r="W770" s="23" t="str">
        <f t="shared" ref="W770:W833" si="38">IF($T770&gt;0,($T770-$U770)/$T770,"")</f>
        <v/>
      </c>
    </row>
    <row r="771" spans="1:23" x14ac:dyDescent="0.35">
      <c r="A771" s="19" t="str">
        <f t="shared" si="36"/>
        <v/>
      </c>
      <c r="B771" s="20"/>
      <c r="C771" s="20"/>
      <c r="S771" s="21"/>
      <c r="T771" s="21"/>
      <c r="U771" s="21"/>
      <c r="V771" s="22" t="str">
        <f t="shared" si="37"/>
        <v/>
      </c>
      <c r="W771" s="23" t="str">
        <f t="shared" si="38"/>
        <v/>
      </c>
    </row>
    <row r="772" spans="1:23" x14ac:dyDescent="0.35">
      <c r="A772" s="19" t="str">
        <f t="shared" si="36"/>
        <v/>
      </c>
      <c r="B772" s="20"/>
      <c r="C772" s="20"/>
      <c r="S772" s="21"/>
      <c r="T772" s="21"/>
      <c r="U772" s="21"/>
      <c r="V772" s="22" t="str">
        <f t="shared" si="37"/>
        <v/>
      </c>
      <c r="W772" s="23" t="str">
        <f t="shared" si="38"/>
        <v/>
      </c>
    </row>
    <row r="773" spans="1:23" x14ac:dyDescent="0.35">
      <c r="A773" s="19" t="str">
        <f t="shared" si="36"/>
        <v/>
      </c>
      <c r="B773" s="20"/>
      <c r="C773" s="20"/>
      <c r="S773" s="21"/>
      <c r="T773" s="21"/>
      <c r="U773" s="21"/>
      <c r="V773" s="22" t="str">
        <f t="shared" si="37"/>
        <v/>
      </c>
      <c r="W773" s="23" t="str">
        <f t="shared" si="38"/>
        <v/>
      </c>
    </row>
    <row r="774" spans="1:23" x14ac:dyDescent="0.35">
      <c r="A774" s="19" t="str">
        <f t="shared" si="36"/>
        <v/>
      </c>
      <c r="B774" s="20"/>
      <c r="C774" s="20"/>
      <c r="S774" s="21"/>
      <c r="T774" s="21"/>
      <c r="U774" s="21"/>
      <c r="V774" s="22" t="str">
        <f t="shared" si="37"/>
        <v/>
      </c>
      <c r="W774" s="23" t="str">
        <f t="shared" si="38"/>
        <v/>
      </c>
    </row>
    <row r="775" spans="1:23" x14ac:dyDescent="0.35">
      <c r="A775" s="19" t="str">
        <f t="shared" si="36"/>
        <v/>
      </c>
      <c r="B775" s="20"/>
      <c r="C775" s="20"/>
      <c r="S775" s="21"/>
      <c r="T775" s="21"/>
      <c r="U775" s="21"/>
      <c r="V775" s="22" t="str">
        <f t="shared" si="37"/>
        <v/>
      </c>
      <c r="W775" s="23" t="str">
        <f t="shared" si="38"/>
        <v/>
      </c>
    </row>
    <row r="776" spans="1:23" x14ac:dyDescent="0.35">
      <c r="A776" s="19" t="str">
        <f t="shared" si="36"/>
        <v/>
      </c>
      <c r="B776" s="20"/>
      <c r="C776" s="20"/>
      <c r="S776" s="21"/>
      <c r="T776" s="21"/>
      <c r="U776" s="21"/>
      <c r="V776" s="22" t="str">
        <f t="shared" si="37"/>
        <v/>
      </c>
      <c r="W776" s="23" t="str">
        <f t="shared" si="38"/>
        <v/>
      </c>
    </row>
    <row r="777" spans="1:23" x14ac:dyDescent="0.35">
      <c r="A777" s="19" t="str">
        <f t="shared" si="36"/>
        <v/>
      </c>
      <c r="B777" s="20"/>
      <c r="C777" s="20"/>
      <c r="S777" s="21"/>
      <c r="T777" s="21"/>
      <c r="U777" s="21"/>
      <c r="V777" s="22" t="str">
        <f t="shared" si="37"/>
        <v/>
      </c>
      <c r="W777" s="23" t="str">
        <f t="shared" si="38"/>
        <v/>
      </c>
    </row>
    <row r="778" spans="1:23" x14ac:dyDescent="0.35">
      <c r="A778" s="19" t="str">
        <f t="shared" si="36"/>
        <v/>
      </c>
      <c r="B778" s="20"/>
      <c r="C778" s="20"/>
      <c r="S778" s="21"/>
      <c r="T778" s="21"/>
      <c r="U778" s="21"/>
      <c r="V778" s="22" t="str">
        <f t="shared" si="37"/>
        <v/>
      </c>
      <c r="W778" s="23" t="str">
        <f t="shared" si="38"/>
        <v/>
      </c>
    </row>
    <row r="779" spans="1:23" x14ac:dyDescent="0.35">
      <c r="A779" s="19" t="str">
        <f t="shared" si="36"/>
        <v/>
      </c>
      <c r="B779" s="20"/>
      <c r="C779" s="20"/>
      <c r="S779" s="21"/>
      <c r="T779" s="21"/>
      <c r="U779" s="21"/>
      <c r="V779" s="22" t="str">
        <f t="shared" si="37"/>
        <v/>
      </c>
      <c r="W779" s="23" t="str">
        <f t="shared" si="38"/>
        <v/>
      </c>
    </row>
    <row r="780" spans="1:23" x14ac:dyDescent="0.35">
      <c r="A780" s="19" t="str">
        <f t="shared" si="36"/>
        <v/>
      </c>
      <c r="B780" s="20"/>
      <c r="C780" s="20"/>
      <c r="S780" s="21"/>
      <c r="T780" s="21"/>
      <c r="U780" s="21"/>
      <c r="V780" s="22" t="str">
        <f t="shared" si="37"/>
        <v/>
      </c>
      <c r="W780" s="23" t="str">
        <f t="shared" si="38"/>
        <v/>
      </c>
    </row>
    <row r="781" spans="1:23" x14ac:dyDescent="0.35">
      <c r="A781" s="19" t="str">
        <f t="shared" si="36"/>
        <v/>
      </c>
      <c r="B781" s="20"/>
      <c r="C781" s="20"/>
      <c r="S781" s="21"/>
      <c r="T781" s="21"/>
      <c r="U781" s="21"/>
      <c r="V781" s="22" t="str">
        <f t="shared" si="37"/>
        <v/>
      </c>
      <c r="W781" s="23" t="str">
        <f t="shared" si="38"/>
        <v/>
      </c>
    </row>
    <row r="782" spans="1:23" x14ac:dyDescent="0.35">
      <c r="A782" s="19" t="str">
        <f t="shared" si="36"/>
        <v/>
      </c>
      <c r="B782" s="20"/>
      <c r="C782" s="20"/>
      <c r="S782" s="21"/>
      <c r="T782" s="21"/>
      <c r="U782" s="21"/>
      <c r="V782" s="22" t="str">
        <f t="shared" si="37"/>
        <v/>
      </c>
      <c r="W782" s="23" t="str">
        <f t="shared" si="38"/>
        <v/>
      </c>
    </row>
    <row r="783" spans="1:23" x14ac:dyDescent="0.35">
      <c r="A783" s="19" t="str">
        <f t="shared" si="36"/>
        <v/>
      </c>
      <c r="B783" s="20"/>
      <c r="C783" s="20"/>
      <c r="S783" s="21"/>
      <c r="T783" s="21"/>
      <c r="U783" s="21"/>
      <c r="V783" s="22" t="str">
        <f t="shared" si="37"/>
        <v/>
      </c>
      <c r="W783" s="23" t="str">
        <f t="shared" si="38"/>
        <v/>
      </c>
    </row>
    <row r="784" spans="1:23" x14ac:dyDescent="0.35">
      <c r="A784" s="19" t="str">
        <f t="shared" si="36"/>
        <v/>
      </c>
      <c r="B784" s="20"/>
      <c r="C784" s="20"/>
      <c r="S784" s="21"/>
      <c r="T784" s="21"/>
      <c r="U784" s="21"/>
      <c r="V784" s="22" t="str">
        <f t="shared" si="37"/>
        <v/>
      </c>
      <c r="W784" s="23" t="str">
        <f t="shared" si="38"/>
        <v/>
      </c>
    </row>
    <row r="785" spans="1:23" x14ac:dyDescent="0.35">
      <c r="A785" s="19" t="str">
        <f t="shared" si="36"/>
        <v/>
      </c>
      <c r="B785" s="20"/>
      <c r="C785" s="20"/>
      <c r="S785" s="21"/>
      <c r="T785" s="21"/>
      <c r="U785" s="21"/>
      <c r="V785" s="22" t="str">
        <f t="shared" si="37"/>
        <v/>
      </c>
      <c r="W785" s="23" t="str">
        <f t="shared" si="38"/>
        <v/>
      </c>
    </row>
    <row r="786" spans="1:23" x14ac:dyDescent="0.35">
      <c r="A786" s="19" t="str">
        <f t="shared" si="36"/>
        <v/>
      </c>
      <c r="B786" s="20"/>
      <c r="C786" s="20"/>
      <c r="S786" s="21"/>
      <c r="T786" s="21"/>
      <c r="U786" s="21"/>
      <c r="V786" s="22" t="str">
        <f t="shared" si="37"/>
        <v/>
      </c>
      <c r="W786" s="23" t="str">
        <f t="shared" si="38"/>
        <v/>
      </c>
    </row>
    <row r="787" spans="1:23" x14ac:dyDescent="0.35">
      <c r="A787" s="19" t="str">
        <f t="shared" si="36"/>
        <v/>
      </c>
      <c r="B787" s="20"/>
      <c r="C787" s="20"/>
      <c r="S787" s="21"/>
      <c r="T787" s="21"/>
      <c r="U787" s="21"/>
      <c r="V787" s="22" t="str">
        <f t="shared" si="37"/>
        <v/>
      </c>
      <c r="W787" s="23" t="str">
        <f t="shared" si="38"/>
        <v/>
      </c>
    </row>
    <row r="788" spans="1:23" x14ac:dyDescent="0.35">
      <c r="A788" s="19" t="str">
        <f t="shared" si="36"/>
        <v/>
      </c>
      <c r="B788" s="20"/>
      <c r="C788" s="20"/>
      <c r="S788" s="21"/>
      <c r="T788" s="21"/>
      <c r="U788" s="21"/>
      <c r="V788" s="22" t="str">
        <f t="shared" si="37"/>
        <v/>
      </c>
      <c r="W788" s="23" t="str">
        <f t="shared" si="38"/>
        <v/>
      </c>
    </row>
    <row r="789" spans="1:23" x14ac:dyDescent="0.35">
      <c r="A789" s="19" t="str">
        <f t="shared" si="36"/>
        <v/>
      </c>
      <c r="B789" s="20"/>
      <c r="C789" s="20"/>
      <c r="S789" s="21"/>
      <c r="T789" s="21"/>
      <c r="U789" s="21"/>
      <c r="V789" s="22" t="str">
        <f t="shared" si="37"/>
        <v/>
      </c>
      <c r="W789" s="23" t="str">
        <f t="shared" si="38"/>
        <v/>
      </c>
    </row>
    <row r="790" spans="1:23" x14ac:dyDescent="0.35">
      <c r="A790" s="19" t="str">
        <f t="shared" si="36"/>
        <v/>
      </c>
      <c r="B790" s="20"/>
      <c r="C790" s="20"/>
      <c r="S790" s="21"/>
      <c r="T790" s="21"/>
      <c r="U790" s="21"/>
      <c r="V790" s="22" t="str">
        <f t="shared" si="37"/>
        <v/>
      </c>
      <c r="W790" s="23" t="str">
        <f t="shared" si="38"/>
        <v/>
      </c>
    </row>
    <row r="791" spans="1:23" x14ac:dyDescent="0.35">
      <c r="A791" s="19" t="str">
        <f t="shared" si="36"/>
        <v/>
      </c>
      <c r="B791" s="20"/>
      <c r="C791" s="20"/>
      <c r="S791" s="21"/>
      <c r="T791" s="21"/>
      <c r="U791" s="21"/>
      <c r="V791" s="22" t="str">
        <f t="shared" si="37"/>
        <v/>
      </c>
      <c r="W791" s="23" t="str">
        <f t="shared" si="38"/>
        <v/>
      </c>
    </row>
    <row r="792" spans="1:23" x14ac:dyDescent="0.35">
      <c r="A792" s="19" t="str">
        <f t="shared" si="36"/>
        <v/>
      </c>
      <c r="B792" s="20"/>
      <c r="C792" s="20"/>
      <c r="S792" s="21"/>
      <c r="T792" s="21"/>
      <c r="U792" s="21"/>
      <c r="V792" s="22" t="str">
        <f t="shared" si="37"/>
        <v/>
      </c>
      <c r="W792" s="23" t="str">
        <f t="shared" si="38"/>
        <v/>
      </c>
    </row>
    <row r="793" spans="1:23" x14ac:dyDescent="0.35">
      <c r="A793" s="19" t="str">
        <f t="shared" si="36"/>
        <v/>
      </c>
      <c r="B793" s="20"/>
      <c r="C793" s="20"/>
      <c r="S793" s="21"/>
      <c r="T793" s="21"/>
      <c r="U793" s="21"/>
      <c r="V793" s="22" t="str">
        <f t="shared" si="37"/>
        <v/>
      </c>
      <c r="W793" s="23" t="str">
        <f t="shared" si="38"/>
        <v/>
      </c>
    </row>
    <row r="794" spans="1:23" x14ac:dyDescent="0.35">
      <c r="A794" s="19" t="str">
        <f t="shared" si="36"/>
        <v/>
      </c>
      <c r="B794" s="20"/>
      <c r="C794" s="20"/>
      <c r="S794" s="21"/>
      <c r="T794" s="21"/>
      <c r="U794" s="21"/>
      <c r="V794" s="22" t="str">
        <f t="shared" si="37"/>
        <v/>
      </c>
      <c r="W794" s="23" t="str">
        <f t="shared" si="38"/>
        <v/>
      </c>
    </row>
    <row r="795" spans="1:23" x14ac:dyDescent="0.35">
      <c r="A795" s="19" t="str">
        <f t="shared" si="36"/>
        <v/>
      </c>
      <c r="B795" s="20"/>
      <c r="C795" s="20"/>
      <c r="S795" s="21"/>
      <c r="T795" s="21"/>
      <c r="U795" s="21"/>
      <c r="V795" s="22" t="str">
        <f t="shared" si="37"/>
        <v/>
      </c>
      <c r="W795" s="23" t="str">
        <f t="shared" si="38"/>
        <v/>
      </c>
    </row>
    <row r="796" spans="1:23" x14ac:dyDescent="0.35">
      <c r="A796" s="19" t="str">
        <f t="shared" si="36"/>
        <v/>
      </c>
      <c r="B796" s="20"/>
      <c r="C796" s="20"/>
      <c r="S796" s="21"/>
      <c r="T796" s="21"/>
      <c r="U796" s="21"/>
      <c r="V796" s="22" t="str">
        <f t="shared" si="37"/>
        <v/>
      </c>
      <c r="W796" s="23" t="str">
        <f t="shared" si="38"/>
        <v/>
      </c>
    </row>
    <row r="797" spans="1:23" x14ac:dyDescent="0.35">
      <c r="A797" s="19" t="str">
        <f t="shared" si="36"/>
        <v/>
      </c>
      <c r="B797" s="20"/>
      <c r="C797" s="20"/>
      <c r="S797" s="21"/>
      <c r="T797" s="21"/>
      <c r="U797" s="21"/>
      <c r="V797" s="22" t="str">
        <f t="shared" si="37"/>
        <v/>
      </c>
      <c r="W797" s="23" t="str">
        <f t="shared" si="38"/>
        <v/>
      </c>
    </row>
    <row r="798" spans="1:23" x14ac:dyDescent="0.35">
      <c r="A798" s="19" t="str">
        <f t="shared" si="36"/>
        <v/>
      </c>
      <c r="B798" s="20"/>
      <c r="C798" s="20"/>
      <c r="S798" s="21"/>
      <c r="T798" s="21"/>
      <c r="U798" s="21"/>
      <c r="V798" s="22" t="str">
        <f t="shared" si="37"/>
        <v/>
      </c>
      <c r="W798" s="23" t="str">
        <f t="shared" si="38"/>
        <v/>
      </c>
    </row>
    <row r="799" spans="1:23" x14ac:dyDescent="0.35">
      <c r="A799" s="19" t="str">
        <f t="shared" si="36"/>
        <v/>
      </c>
      <c r="B799" s="20"/>
      <c r="C799" s="20"/>
      <c r="S799" s="21"/>
      <c r="T799" s="21"/>
      <c r="U799" s="21"/>
      <c r="V799" s="22" t="str">
        <f t="shared" si="37"/>
        <v/>
      </c>
      <c r="W799" s="23" t="str">
        <f t="shared" si="38"/>
        <v/>
      </c>
    </row>
    <row r="800" spans="1:23" x14ac:dyDescent="0.35">
      <c r="A800" s="19" t="str">
        <f t="shared" si="36"/>
        <v/>
      </c>
      <c r="B800" s="20"/>
      <c r="C800" s="20"/>
      <c r="S800" s="21"/>
      <c r="T800" s="21"/>
      <c r="U800" s="21"/>
      <c r="V800" s="22" t="str">
        <f t="shared" si="37"/>
        <v/>
      </c>
      <c r="W800" s="23" t="str">
        <f t="shared" si="38"/>
        <v/>
      </c>
    </row>
    <row r="801" spans="1:23" x14ac:dyDescent="0.35">
      <c r="A801" s="19" t="str">
        <f t="shared" si="36"/>
        <v/>
      </c>
      <c r="B801" s="20"/>
      <c r="C801" s="20"/>
      <c r="S801" s="21"/>
      <c r="T801" s="21"/>
      <c r="U801" s="21"/>
      <c r="V801" s="22" t="str">
        <f t="shared" si="37"/>
        <v/>
      </c>
      <c r="W801" s="23" t="str">
        <f t="shared" si="38"/>
        <v/>
      </c>
    </row>
    <row r="802" spans="1:23" x14ac:dyDescent="0.35">
      <c r="A802" s="19" t="str">
        <f t="shared" si="36"/>
        <v/>
      </c>
      <c r="B802" s="20"/>
      <c r="C802" s="20"/>
      <c r="S802" s="21"/>
      <c r="T802" s="21"/>
      <c r="U802" s="21"/>
      <c r="V802" s="22" t="str">
        <f t="shared" si="37"/>
        <v/>
      </c>
      <c r="W802" s="23" t="str">
        <f t="shared" si="38"/>
        <v/>
      </c>
    </row>
    <row r="803" spans="1:23" x14ac:dyDescent="0.35">
      <c r="A803" s="19" t="str">
        <f t="shared" si="36"/>
        <v/>
      </c>
      <c r="B803" s="20"/>
      <c r="C803" s="20"/>
      <c r="S803" s="21"/>
      <c r="T803" s="21"/>
      <c r="U803" s="21"/>
      <c r="V803" s="22" t="str">
        <f t="shared" si="37"/>
        <v/>
      </c>
      <c r="W803" s="23" t="str">
        <f t="shared" si="38"/>
        <v/>
      </c>
    </row>
    <row r="804" spans="1:23" x14ac:dyDescent="0.35">
      <c r="A804" s="19" t="str">
        <f t="shared" si="36"/>
        <v/>
      </c>
      <c r="B804" s="20"/>
      <c r="C804" s="20"/>
      <c r="S804" s="21"/>
      <c r="T804" s="21"/>
      <c r="U804" s="21"/>
      <c r="V804" s="22" t="str">
        <f t="shared" si="37"/>
        <v/>
      </c>
      <c r="W804" s="23" t="str">
        <f t="shared" si="38"/>
        <v/>
      </c>
    </row>
    <row r="805" spans="1:23" x14ac:dyDescent="0.35">
      <c r="A805" s="19" t="str">
        <f t="shared" si="36"/>
        <v/>
      </c>
      <c r="B805" s="20"/>
      <c r="C805" s="20"/>
      <c r="S805" s="21"/>
      <c r="T805" s="21"/>
      <c r="U805" s="21"/>
      <c r="V805" s="22" t="str">
        <f t="shared" si="37"/>
        <v/>
      </c>
      <c r="W805" s="23" t="str">
        <f t="shared" si="38"/>
        <v/>
      </c>
    </row>
    <row r="806" spans="1:23" x14ac:dyDescent="0.35">
      <c r="A806" s="19" t="str">
        <f t="shared" si="36"/>
        <v/>
      </c>
      <c r="B806" s="20"/>
      <c r="C806" s="20"/>
      <c r="S806" s="21"/>
      <c r="T806" s="21"/>
      <c r="U806" s="21"/>
      <c r="V806" s="22" t="str">
        <f t="shared" si="37"/>
        <v/>
      </c>
      <c r="W806" s="23" t="str">
        <f t="shared" si="38"/>
        <v/>
      </c>
    </row>
    <row r="807" spans="1:23" x14ac:dyDescent="0.35">
      <c r="A807" s="19" t="str">
        <f t="shared" si="36"/>
        <v/>
      </c>
      <c r="B807" s="20"/>
      <c r="C807" s="20"/>
      <c r="S807" s="21"/>
      <c r="T807" s="21"/>
      <c r="U807" s="21"/>
      <c r="V807" s="22" t="str">
        <f t="shared" si="37"/>
        <v/>
      </c>
      <c r="W807" s="23" t="str">
        <f t="shared" si="38"/>
        <v/>
      </c>
    </row>
    <row r="808" spans="1:23" x14ac:dyDescent="0.35">
      <c r="A808" s="19" t="str">
        <f t="shared" si="36"/>
        <v/>
      </c>
      <c r="B808" s="20"/>
      <c r="C808" s="20"/>
      <c r="S808" s="21"/>
      <c r="T808" s="21"/>
      <c r="U808" s="21"/>
      <c r="V808" s="22" t="str">
        <f t="shared" si="37"/>
        <v/>
      </c>
      <c r="W808" s="23" t="str">
        <f t="shared" si="38"/>
        <v/>
      </c>
    </row>
    <row r="809" spans="1:23" x14ac:dyDescent="0.35">
      <c r="A809" s="19" t="str">
        <f t="shared" si="36"/>
        <v/>
      </c>
      <c r="B809" s="20"/>
      <c r="C809" s="20"/>
      <c r="S809" s="21"/>
      <c r="T809" s="21"/>
      <c r="U809" s="21"/>
      <c r="V809" s="22" t="str">
        <f t="shared" si="37"/>
        <v/>
      </c>
      <c r="W809" s="23" t="str">
        <f t="shared" si="38"/>
        <v/>
      </c>
    </row>
    <row r="810" spans="1:23" x14ac:dyDescent="0.35">
      <c r="A810" s="19" t="str">
        <f t="shared" si="36"/>
        <v/>
      </c>
      <c r="B810" s="20"/>
      <c r="C810" s="20"/>
      <c r="S810" s="21"/>
      <c r="T810" s="21"/>
      <c r="U810" s="21"/>
      <c r="V810" s="22" t="str">
        <f t="shared" si="37"/>
        <v/>
      </c>
      <c r="W810" s="23" t="str">
        <f t="shared" si="38"/>
        <v/>
      </c>
    </row>
    <row r="811" spans="1:23" x14ac:dyDescent="0.35">
      <c r="A811" s="19" t="str">
        <f t="shared" si="36"/>
        <v/>
      </c>
      <c r="B811" s="20"/>
      <c r="C811" s="20"/>
      <c r="S811" s="21"/>
      <c r="T811" s="21"/>
      <c r="U811" s="21"/>
      <c r="V811" s="22" t="str">
        <f t="shared" si="37"/>
        <v/>
      </c>
      <c r="W811" s="23" t="str">
        <f t="shared" si="38"/>
        <v/>
      </c>
    </row>
    <row r="812" spans="1:23" x14ac:dyDescent="0.35">
      <c r="A812" s="19" t="str">
        <f t="shared" si="36"/>
        <v/>
      </c>
      <c r="B812" s="20"/>
      <c r="C812" s="20"/>
      <c r="S812" s="21"/>
      <c r="T812" s="21"/>
      <c r="U812" s="21"/>
      <c r="V812" s="22" t="str">
        <f t="shared" si="37"/>
        <v/>
      </c>
      <c r="W812" s="23" t="str">
        <f t="shared" si="38"/>
        <v/>
      </c>
    </row>
    <row r="813" spans="1:23" x14ac:dyDescent="0.35">
      <c r="A813" s="19" t="str">
        <f t="shared" si="36"/>
        <v/>
      </c>
      <c r="B813" s="20"/>
      <c r="C813" s="20"/>
      <c r="S813" s="21"/>
      <c r="T813" s="21"/>
      <c r="U813" s="21"/>
      <c r="V813" s="22" t="str">
        <f t="shared" si="37"/>
        <v/>
      </c>
      <c r="W813" s="23" t="str">
        <f t="shared" si="38"/>
        <v/>
      </c>
    </row>
    <row r="814" spans="1:23" x14ac:dyDescent="0.35">
      <c r="A814" s="19" t="str">
        <f t="shared" si="36"/>
        <v/>
      </c>
      <c r="B814" s="20"/>
      <c r="C814" s="20"/>
      <c r="S814" s="21"/>
      <c r="T814" s="21"/>
      <c r="U814" s="21"/>
      <c r="V814" s="22" t="str">
        <f t="shared" si="37"/>
        <v/>
      </c>
      <c r="W814" s="23" t="str">
        <f t="shared" si="38"/>
        <v/>
      </c>
    </row>
    <row r="815" spans="1:23" x14ac:dyDescent="0.35">
      <c r="A815" s="19" t="str">
        <f t="shared" si="36"/>
        <v/>
      </c>
      <c r="B815" s="20"/>
      <c r="C815" s="20"/>
      <c r="S815" s="21"/>
      <c r="T815" s="21"/>
      <c r="U815" s="21"/>
      <c r="V815" s="22" t="str">
        <f t="shared" si="37"/>
        <v/>
      </c>
      <c r="W815" s="23" t="str">
        <f t="shared" si="38"/>
        <v/>
      </c>
    </row>
    <row r="816" spans="1:23" x14ac:dyDescent="0.35">
      <c r="A816" s="19" t="str">
        <f t="shared" si="36"/>
        <v/>
      </c>
      <c r="B816" s="20"/>
      <c r="C816" s="20"/>
      <c r="S816" s="21"/>
      <c r="T816" s="21"/>
      <c r="U816" s="21"/>
      <c r="V816" s="22" t="str">
        <f t="shared" si="37"/>
        <v/>
      </c>
      <c r="W816" s="23" t="str">
        <f t="shared" si="38"/>
        <v/>
      </c>
    </row>
    <row r="817" spans="1:23" x14ac:dyDescent="0.35">
      <c r="A817" s="19" t="str">
        <f t="shared" si="36"/>
        <v/>
      </c>
      <c r="B817" s="20"/>
      <c r="C817" s="20"/>
      <c r="S817" s="21"/>
      <c r="T817" s="21"/>
      <c r="U817" s="21"/>
      <c r="V817" s="22" t="str">
        <f t="shared" si="37"/>
        <v/>
      </c>
      <c r="W817" s="23" t="str">
        <f t="shared" si="38"/>
        <v/>
      </c>
    </row>
    <row r="818" spans="1:23" x14ac:dyDescent="0.35">
      <c r="A818" s="19" t="str">
        <f t="shared" si="36"/>
        <v/>
      </c>
      <c r="B818" s="20"/>
      <c r="C818" s="20"/>
      <c r="S818" s="21"/>
      <c r="T818" s="21"/>
      <c r="U818" s="21"/>
      <c r="V818" s="22" t="str">
        <f t="shared" si="37"/>
        <v/>
      </c>
      <c r="W818" s="23" t="str">
        <f t="shared" si="38"/>
        <v/>
      </c>
    </row>
    <row r="819" spans="1:23" x14ac:dyDescent="0.35">
      <c r="A819" s="19" t="str">
        <f t="shared" si="36"/>
        <v/>
      </c>
      <c r="B819" s="20"/>
      <c r="C819" s="20"/>
      <c r="S819" s="21"/>
      <c r="T819" s="21"/>
      <c r="U819" s="21"/>
      <c r="V819" s="22" t="str">
        <f t="shared" si="37"/>
        <v/>
      </c>
      <c r="W819" s="23" t="str">
        <f t="shared" si="38"/>
        <v/>
      </c>
    </row>
    <row r="820" spans="1:23" x14ac:dyDescent="0.35">
      <c r="A820" s="19" t="str">
        <f t="shared" si="36"/>
        <v/>
      </c>
      <c r="B820" s="20"/>
      <c r="C820" s="20"/>
      <c r="S820" s="21"/>
      <c r="T820" s="21"/>
      <c r="U820" s="21"/>
      <c r="V820" s="22" t="str">
        <f t="shared" si="37"/>
        <v/>
      </c>
      <c r="W820" s="23" t="str">
        <f t="shared" si="38"/>
        <v/>
      </c>
    </row>
    <row r="821" spans="1:23" x14ac:dyDescent="0.35">
      <c r="A821" s="19" t="str">
        <f t="shared" si="36"/>
        <v/>
      </c>
      <c r="B821" s="20"/>
      <c r="C821" s="20"/>
      <c r="S821" s="21"/>
      <c r="T821" s="21"/>
      <c r="U821" s="21"/>
      <c r="V821" s="22" t="str">
        <f t="shared" si="37"/>
        <v/>
      </c>
      <c r="W821" s="23" t="str">
        <f t="shared" si="38"/>
        <v/>
      </c>
    </row>
    <row r="822" spans="1:23" x14ac:dyDescent="0.35">
      <c r="A822" s="19" t="str">
        <f t="shared" si="36"/>
        <v/>
      </c>
      <c r="B822" s="20"/>
      <c r="C822" s="20"/>
      <c r="S822" s="21"/>
      <c r="T822" s="21"/>
      <c r="U822" s="21"/>
      <c r="V822" s="22" t="str">
        <f t="shared" si="37"/>
        <v/>
      </c>
      <c r="W822" s="23" t="str">
        <f t="shared" si="38"/>
        <v/>
      </c>
    </row>
    <row r="823" spans="1:23" x14ac:dyDescent="0.35">
      <c r="A823" s="19" t="str">
        <f t="shared" si="36"/>
        <v/>
      </c>
      <c r="B823" s="20"/>
      <c r="C823" s="20"/>
      <c r="S823" s="21"/>
      <c r="T823" s="21"/>
      <c r="U823" s="21"/>
      <c r="V823" s="22" t="str">
        <f t="shared" si="37"/>
        <v/>
      </c>
      <c r="W823" s="23" t="str">
        <f t="shared" si="38"/>
        <v/>
      </c>
    </row>
    <row r="824" spans="1:23" x14ac:dyDescent="0.35">
      <c r="A824" s="19" t="str">
        <f t="shared" si="36"/>
        <v/>
      </c>
      <c r="B824" s="20"/>
      <c r="C824" s="20"/>
      <c r="S824" s="21"/>
      <c r="T824" s="21"/>
      <c r="U824" s="21"/>
      <c r="V824" s="22" t="str">
        <f t="shared" si="37"/>
        <v/>
      </c>
      <c r="W824" s="23" t="str">
        <f t="shared" si="38"/>
        <v/>
      </c>
    </row>
    <row r="825" spans="1:23" x14ac:dyDescent="0.35">
      <c r="A825" s="19" t="str">
        <f t="shared" si="36"/>
        <v/>
      </c>
      <c r="B825" s="20"/>
      <c r="C825" s="20"/>
      <c r="S825" s="21"/>
      <c r="T825" s="21"/>
      <c r="U825" s="21"/>
      <c r="V825" s="22" t="str">
        <f t="shared" si="37"/>
        <v/>
      </c>
      <c r="W825" s="23" t="str">
        <f t="shared" si="38"/>
        <v/>
      </c>
    </row>
    <row r="826" spans="1:23" x14ac:dyDescent="0.35">
      <c r="A826" s="19" t="str">
        <f t="shared" si="36"/>
        <v/>
      </c>
      <c r="B826" s="20"/>
      <c r="C826" s="20"/>
      <c r="S826" s="21"/>
      <c r="T826" s="21"/>
      <c r="U826" s="21"/>
      <c r="V826" s="22" t="str">
        <f t="shared" si="37"/>
        <v/>
      </c>
      <c r="W826" s="23" t="str">
        <f t="shared" si="38"/>
        <v/>
      </c>
    </row>
    <row r="827" spans="1:23" x14ac:dyDescent="0.35">
      <c r="A827" s="19" t="str">
        <f t="shared" si="36"/>
        <v/>
      </c>
      <c r="B827" s="20"/>
      <c r="C827" s="20"/>
      <c r="S827" s="21"/>
      <c r="T827" s="21"/>
      <c r="U827" s="21"/>
      <c r="V827" s="22" t="str">
        <f t="shared" si="37"/>
        <v/>
      </c>
      <c r="W827" s="23" t="str">
        <f t="shared" si="38"/>
        <v/>
      </c>
    </row>
    <row r="828" spans="1:23" x14ac:dyDescent="0.35">
      <c r="A828" s="19" t="str">
        <f t="shared" si="36"/>
        <v/>
      </c>
      <c r="B828" s="20"/>
      <c r="C828" s="20"/>
      <c r="S828" s="21"/>
      <c r="T828" s="21"/>
      <c r="U828" s="21"/>
      <c r="V828" s="22" t="str">
        <f t="shared" si="37"/>
        <v/>
      </c>
      <c r="W828" s="23" t="str">
        <f t="shared" si="38"/>
        <v/>
      </c>
    </row>
    <row r="829" spans="1:23" x14ac:dyDescent="0.35">
      <c r="A829" s="19" t="str">
        <f t="shared" si="36"/>
        <v/>
      </c>
      <c r="B829" s="20"/>
      <c r="C829" s="20"/>
      <c r="S829" s="21"/>
      <c r="T829" s="21"/>
      <c r="U829" s="21"/>
      <c r="V829" s="22" t="str">
        <f t="shared" si="37"/>
        <v/>
      </c>
      <c r="W829" s="23" t="str">
        <f t="shared" si="38"/>
        <v/>
      </c>
    </row>
    <row r="830" spans="1:23" x14ac:dyDescent="0.35">
      <c r="A830" s="19" t="str">
        <f t="shared" si="36"/>
        <v/>
      </c>
      <c r="B830" s="20"/>
      <c r="C830" s="20"/>
      <c r="S830" s="21"/>
      <c r="T830" s="21"/>
      <c r="U830" s="21"/>
      <c r="V830" s="22" t="str">
        <f t="shared" si="37"/>
        <v/>
      </c>
      <c r="W830" s="23" t="str">
        <f t="shared" si="38"/>
        <v/>
      </c>
    </row>
    <row r="831" spans="1:23" x14ac:dyDescent="0.35">
      <c r="A831" s="19" t="str">
        <f t="shared" si="36"/>
        <v/>
      </c>
      <c r="B831" s="20"/>
      <c r="C831" s="20"/>
      <c r="S831" s="21"/>
      <c r="T831" s="21"/>
      <c r="U831" s="21"/>
      <c r="V831" s="22" t="str">
        <f t="shared" si="37"/>
        <v/>
      </c>
      <c r="W831" s="23" t="str">
        <f t="shared" si="38"/>
        <v/>
      </c>
    </row>
    <row r="832" spans="1:23" x14ac:dyDescent="0.35">
      <c r="A832" s="19" t="str">
        <f t="shared" si="36"/>
        <v/>
      </c>
      <c r="B832" s="20"/>
      <c r="C832" s="20"/>
      <c r="S832" s="21"/>
      <c r="T832" s="21"/>
      <c r="U832" s="21"/>
      <c r="V832" s="22" t="str">
        <f t="shared" si="37"/>
        <v/>
      </c>
      <c r="W832" s="23" t="str">
        <f t="shared" si="38"/>
        <v/>
      </c>
    </row>
    <row r="833" spans="1:23" x14ac:dyDescent="0.35">
      <c r="A833" s="19" t="str">
        <f t="shared" si="36"/>
        <v/>
      </c>
      <c r="B833" s="20"/>
      <c r="C833" s="20"/>
      <c r="S833" s="21"/>
      <c r="T833" s="21"/>
      <c r="U833" s="21"/>
      <c r="V833" s="22" t="str">
        <f t="shared" si="37"/>
        <v/>
      </c>
      <c r="W833" s="23" t="str">
        <f t="shared" si="38"/>
        <v/>
      </c>
    </row>
    <row r="834" spans="1:23" x14ac:dyDescent="0.35">
      <c r="A834" s="19" t="str">
        <f t="shared" ref="A834:A897" si="39">IF($B834="","",Prefixo&amp;"-"&amp;TEXT(ROW()-1,"0000"))</f>
        <v/>
      </c>
      <c r="B834" s="20"/>
      <c r="C834" s="20"/>
      <c r="S834" s="21"/>
      <c r="T834" s="21"/>
      <c r="U834" s="21"/>
      <c r="V834" s="22" t="str">
        <f t="shared" ref="V834:V897" si="40">IF($T834&gt;0,$T834-$U834,"")</f>
        <v/>
      </c>
      <c r="W834" s="23" t="str">
        <f t="shared" ref="W834:W897" si="41">IF($T834&gt;0,($T834-$U834)/$T834,"")</f>
        <v/>
      </c>
    </row>
    <row r="835" spans="1:23" x14ac:dyDescent="0.35">
      <c r="A835" s="19" t="str">
        <f t="shared" si="39"/>
        <v/>
      </c>
      <c r="B835" s="20"/>
      <c r="C835" s="20"/>
      <c r="S835" s="21"/>
      <c r="T835" s="21"/>
      <c r="U835" s="21"/>
      <c r="V835" s="22" t="str">
        <f t="shared" si="40"/>
        <v/>
      </c>
      <c r="W835" s="23" t="str">
        <f t="shared" si="41"/>
        <v/>
      </c>
    </row>
    <row r="836" spans="1:23" x14ac:dyDescent="0.35">
      <c r="A836" s="19" t="str">
        <f t="shared" si="39"/>
        <v/>
      </c>
      <c r="B836" s="20"/>
      <c r="C836" s="20"/>
      <c r="S836" s="21"/>
      <c r="T836" s="21"/>
      <c r="U836" s="21"/>
      <c r="V836" s="22" t="str">
        <f t="shared" si="40"/>
        <v/>
      </c>
      <c r="W836" s="23" t="str">
        <f t="shared" si="41"/>
        <v/>
      </c>
    </row>
    <row r="837" spans="1:23" x14ac:dyDescent="0.35">
      <c r="A837" s="19" t="str">
        <f t="shared" si="39"/>
        <v/>
      </c>
      <c r="B837" s="20"/>
      <c r="C837" s="20"/>
      <c r="S837" s="21"/>
      <c r="T837" s="21"/>
      <c r="U837" s="21"/>
      <c r="V837" s="22" t="str">
        <f t="shared" si="40"/>
        <v/>
      </c>
      <c r="W837" s="23" t="str">
        <f t="shared" si="41"/>
        <v/>
      </c>
    </row>
    <row r="838" spans="1:23" x14ac:dyDescent="0.35">
      <c r="A838" s="19" t="str">
        <f t="shared" si="39"/>
        <v/>
      </c>
      <c r="B838" s="20"/>
      <c r="C838" s="20"/>
      <c r="S838" s="21"/>
      <c r="T838" s="21"/>
      <c r="U838" s="21"/>
      <c r="V838" s="22" t="str">
        <f t="shared" si="40"/>
        <v/>
      </c>
      <c r="W838" s="23" t="str">
        <f t="shared" si="41"/>
        <v/>
      </c>
    </row>
    <row r="839" spans="1:23" x14ac:dyDescent="0.35">
      <c r="A839" s="19" t="str">
        <f t="shared" si="39"/>
        <v/>
      </c>
      <c r="B839" s="20"/>
      <c r="C839" s="20"/>
      <c r="S839" s="21"/>
      <c r="T839" s="21"/>
      <c r="U839" s="21"/>
      <c r="V839" s="22" t="str">
        <f t="shared" si="40"/>
        <v/>
      </c>
      <c r="W839" s="23" t="str">
        <f t="shared" si="41"/>
        <v/>
      </c>
    </row>
    <row r="840" spans="1:23" x14ac:dyDescent="0.35">
      <c r="A840" s="19" t="str">
        <f t="shared" si="39"/>
        <v/>
      </c>
      <c r="B840" s="20"/>
      <c r="C840" s="20"/>
      <c r="S840" s="21"/>
      <c r="T840" s="21"/>
      <c r="U840" s="21"/>
      <c r="V840" s="22" t="str">
        <f t="shared" si="40"/>
        <v/>
      </c>
      <c r="W840" s="23" t="str">
        <f t="shared" si="41"/>
        <v/>
      </c>
    </row>
    <row r="841" spans="1:23" x14ac:dyDescent="0.35">
      <c r="A841" s="19" t="str">
        <f t="shared" si="39"/>
        <v/>
      </c>
      <c r="B841" s="20"/>
      <c r="C841" s="20"/>
      <c r="S841" s="21"/>
      <c r="T841" s="21"/>
      <c r="U841" s="21"/>
      <c r="V841" s="22" t="str">
        <f t="shared" si="40"/>
        <v/>
      </c>
      <c r="W841" s="23" t="str">
        <f t="shared" si="41"/>
        <v/>
      </c>
    </row>
    <row r="842" spans="1:23" x14ac:dyDescent="0.35">
      <c r="A842" s="19" t="str">
        <f t="shared" si="39"/>
        <v/>
      </c>
      <c r="B842" s="20"/>
      <c r="C842" s="20"/>
      <c r="S842" s="21"/>
      <c r="T842" s="21"/>
      <c r="U842" s="21"/>
      <c r="V842" s="22" t="str">
        <f t="shared" si="40"/>
        <v/>
      </c>
      <c r="W842" s="23" t="str">
        <f t="shared" si="41"/>
        <v/>
      </c>
    </row>
    <row r="843" spans="1:23" x14ac:dyDescent="0.35">
      <c r="A843" s="19" t="str">
        <f t="shared" si="39"/>
        <v/>
      </c>
      <c r="B843" s="20"/>
      <c r="C843" s="20"/>
      <c r="S843" s="21"/>
      <c r="T843" s="21"/>
      <c r="U843" s="21"/>
      <c r="V843" s="22" t="str">
        <f t="shared" si="40"/>
        <v/>
      </c>
      <c r="W843" s="23" t="str">
        <f t="shared" si="41"/>
        <v/>
      </c>
    </row>
    <row r="844" spans="1:23" x14ac:dyDescent="0.35">
      <c r="A844" s="19" t="str">
        <f t="shared" si="39"/>
        <v/>
      </c>
      <c r="B844" s="20"/>
      <c r="C844" s="20"/>
      <c r="S844" s="21"/>
      <c r="T844" s="21"/>
      <c r="U844" s="21"/>
      <c r="V844" s="22" t="str">
        <f t="shared" si="40"/>
        <v/>
      </c>
      <c r="W844" s="23" t="str">
        <f t="shared" si="41"/>
        <v/>
      </c>
    </row>
    <row r="845" spans="1:23" x14ac:dyDescent="0.35">
      <c r="A845" s="19" t="str">
        <f t="shared" si="39"/>
        <v/>
      </c>
      <c r="B845" s="20"/>
      <c r="C845" s="20"/>
      <c r="S845" s="21"/>
      <c r="T845" s="21"/>
      <c r="U845" s="21"/>
      <c r="V845" s="22" t="str">
        <f t="shared" si="40"/>
        <v/>
      </c>
      <c r="W845" s="23" t="str">
        <f t="shared" si="41"/>
        <v/>
      </c>
    </row>
    <row r="846" spans="1:23" x14ac:dyDescent="0.35">
      <c r="A846" s="19" t="str">
        <f t="shared" si="39"/>
        <v/>
      </c>
      <c r="B846" s="20"/>
      <c r="C846" s="20"/>
      <c r="S846" s="21"/>
      <c r="T846" s="21"/>
      <c r="U846" s="21"/>
      <c r="V846" s="22" t="str">
        <f t="shared" si="40"/>
        <v/>
      </c>
      <c r="W846" s="23" t="str">
        <f t="shared" si="41"/>
        <v/>
      </c>
    </row>
    <row r="847" spans="1:23" x14ac:dyDescent="0.35">
      <c r="A847" s="19" t="str">
        <f t="shared" si="39"/>
        <v/>
      </c>
      <c r="B847" s="20"/>
      <c r="C847" s="20"/>
      <c r="S847" s="21"/>
      <c r="T847" s="21"/>
      <c r="U847" s="21"/>
      <c r="V847" s="22" t="str">
        <f t="shared" si="40"/>
        <v/>
      </c>
      <c r="W847" s="23" t="str">
        <f t="shared" si="41"/>
        <v/>
      </c>
    </row>
    <row r="848" spans="1:23" x14ac:dyDescent="0.35">
      <c r="A848" s="19" t="str">
        <f t="shared" si="39"/>
        <v/>
      </c>
      <c r="B848" s="20"/>
      <c r="C848" s="20"/>
      <c r="S848" s="21"/>
      <c r="T848" s="21"/>
      <c r="U848" s="21"/>
      <c r="V848" s="22" t="str">
        <f t="shared" si="40"/>
        <v/>
      </c>
      <c r="W848" s="23" t="str">
        <f t="shared" si="41"/>
        <v/>
      </c>
    </row>
    <row r="849" spans="1:23" x14ac:dyDescent="0.35">
      <c r="A849" s="19" t="str">
        <f t="shared" si="39"/>
        <v/>
      </c>
      <c r="B849" s="20"/>
      <c r="C849" s="20"/>
      <c r="S849" s="21"/>
      <c r="T849" s="21"/>
      <c r="U849" s="21"/>
      <c r="V849" s="22" t="str">
        <f t="shared" si="40"/>
        <v/>
      </c>
      <c r="W849" s="23" t="str">
        <f t="shared" si="41"/>
        <v/>
      </c>
    </row>
    <row r="850" spans="1:23" x14ac:dyDescent="0.35">
      <c r="A850" s="19" t="str">
        <f t="shared" si="39"/>
        <v/>
      </c>
      <c r="B850" s="20"/>
      <c r="C850" s="20"/>
      <c r="S850" s="21"/>
      <c r="T850" s="21"/>
      <c r="U850" s="21"/>
      <c r="V850" s="22" t="str">
        <f t="shared" si="40"/>
        <v/>
      </c>
      <c r="W850" s="23" t="str">
        <f t="shared" si="41"/>
        <v/>
      </c>
    </row>
    <row r="851" spans="1:23" x14ac:dyDescent="0.35">
      <c r="A851" s="19" t="str">
        <f t="shared" si="39"/>
        <v/>
      </c>
      <c r="B851" s="20"/>
      <c r="C851" s="20"/>
      <c r="S851" s="21"/>
      <c r="T851" s="21"/>
      <c r="U851" s="21"/>
      <c r="V851" s="22" t="str">
        <f t="shared" si="40"/>
        <v/>
      </c>
      <c r="W851" s="23" t="str">
        <f t="shared" si="41"/>
        <v/>
      </c>
    </row>
    <row r="852" spans="1:23" x14ac:dyDescent="0.35">
      <c r="A852" s="19" t="str">
        <f t="shared" si="39"/>
        <v/>
      </c>
      <c r="B852" s="20"/>
      <c r="C852" s="20"/>
      <c r="S852" s="21"/>
      <c r="T852" s="21"/>
      <c r="U852" s="21"/>
      <c r="V852" s="22" t="str">
        <f t="shared" si="40"/>
        <v/>
      </c>
      <c r="W852" s="23" t="str">
        <f t="shared" si="41"/>
        <v/>
      </c>
    </row>
    <row r="853" spans="1:23" x14ac:dyDescent="0.35">
      <c r="A853" s="19" t="str">
        <f t="shared" si="39"/>
        <v/>
      </c>
      <c r="B853" s="20"/>
      <c r="C853" s="20"/>
      <c r="S853" s="21"/>
      <c r="T853" s="21"/>
      <c r="U853" s="21"/>
      <c r="V853" s="22" t="str">
        <f t="shared" si="40"/>
        <v/>
      </c>
      <c r="W853" s="23" t="str">
        <f t="shared" si="41"/>
        <v/>
      </c>
    </row>
    <row r="854" spans="1:23" x14ac:dyDescent="0.35">
      <c r="A854" s="19" t="str">
        <f t="shared" si="39"/>
        <v/>
      </c>
      <c r="B854" s="20"/>
      <c r="C854" s="20"/>
      <c r="S854" s="21"/>
      <c r="T854" s="21"/>
      <c r="U854" s="21"/>
      <c r="V854" s="22" t="str">
        <f t="shared" si="40"/>
        <v/>
      </c>
      <c r="W854" s="23" t="str">
        <f t="shared" si="41"/>
        <v/>
      </c>
    </row>
    <row r="855" spans="1:23" x14ac:dyDescent="0.35">
      <c r="A855" s="19" t="str">
        <f t="shared" si="39"/>
        <v/>
      </c>
      <c r="B855" s="20"/>
      <c r="C855" s="20"/>
      <c r="S855" s="21"/>
      <c r="T855" s="21"/>
      <c r="U855" s="21"/>
      <c r="V855" s="22" t="str">
        <f t="shared" si="40"/>
        <v/>
      </c>
      <c r="W855" s="23" t="str">
        <f t="shared" si="41"/>
        <v/>
      </c>
    </row>
    <row r="856" spans="1:23" x14ac:dyDescent="0.35">
      <c r="A856" s="19" t="str">
        <f t="shared" si="39"/>
        <v/>
      </c>
      <c r="B856" s="20"/>
      <c r="C856" s="20"/>
      <c r="S856" s="21"/>
      <c r="T856" s="21"/>
      <c r="U856" s="21"/>
      <c r="V856" s="22" t="str">
        <f t="shared" si="40"/>
        <v/>
      </c>
      <c r="W856" s="23" t="str">
        <f t="shared" si="41"/>
        <v/>
      </c>
    </row>
    <row r="857" spans="1:23" x14ac:dyDescent="0.35">
      <c r="A857" s="19" t="str">
        <f t="shared" si="39"/>
        <v/>
      </c>
      <c r="B857" s="20"/>
      <c r="C857" s="20"/>
      <c r="S857" s="21"/>
      <c r="T857" s="21"/>
      <c r="U857" s="21"/>
      <c r="V857" s="22" t="str">
        <f t="shared" si="40"/>
        <v/>
      </c>
      <c r="W857" s="23" t="str">
        <f t="shared" si="41"/>
        <v/>
      </c>
    </row>
    <row r="858" spans="1:23" x14ac:dyDescent="0.35">
      <c r="A858" s="19" t="str">
        <f t="shared" si="39"/>
        <v/>
      </c>
      <c r="B858" s="20"/>
      <c r="C858" s="20"/>
      <c r="S858" s="21"/>
      <c r="T858" s="21"/>
      <c r="U858" s="21"/>
      <c r="V858" s="22" t="str">
        <f t="shared" si="40"/>
        <v/>
      </c>
      <c r="W858" s="23" t="str">
        <f t="shared" si="41"/>
        <v/>
      </c>
    </row>
    <row r="859" spans="1:23" x14ac:dyDescent="0.35">
      <c r="A859" s="19" t="str">
        <f t="shared" si="39"/>
        <v/>
      </c>
      <c r="B859" s="20"/>
      <c r="C859" s="20"/>
      <c r="S859" s="21"/>
      <c r="T859" s="21"/>
      <c r="U859" s="21"/>
      <c r="V859" s="22" t="str">
        <f t="shared" si="40"/>
        <v/>
      </c>
      <c r="W859" s="23" t="str">
        <f t="shared" si="41"/>
        <v/>
      </c>
    </row>
    <row r="860" spans="1:23" x14ac:dyDescent="0.35">
      <c r="A860" s="19" t="str">
        <f t="shared" si="39"/>
        <v/>
      </c>
      <c r="B860" s="20"/>
      <c r="C860" s="20"/>
      <c r="S860" s="21"/>
      <c r="T860" s="21"/>
      <c r="U860" s="21"/>
      <c r="V860" s="22" t="str">
        <f t="shared" si="40"/>
        <v/>
      </c>
      <c r="W860" s="23" t="str">
        <f t="shared" si="41"/>
        <v/>
      </c>
    </row>
    <row r="861" spans="1:23" x14ac:dyDescent="0.35">
      <c r="A861" s="19" t="str">
        <f t="shared" si="39"/>
        <v/>
      </c>
      <c r="B861" s="20"/>
      <c r="C861" s="20"/>
      <c r="S861" s="21"/>
      <c r="T861" s="21"/>
      <c r="U861" s="21"/>
      <c r="V861" s="22" t="str">
        <f t="shared" si="40"/>
        <v/>
      </c>
      <c r="W861" s="23" t="str">
        <f t="shared" si="41"/>
        <v/>
      </c>
    </row>
    <row r="862" spans="1:23" x14ac:dyDescent="0.35">
      <c r="A862" s="19" t="str">
        <f t="shared" si="39"/>
        <v/>
      </c>
      <c r="B862" s="20"/>
      <c r="C862" s="20"/>
      <c r="S862" s="21"/>
      <c r="T862" s="21"/>
      <c r="U862" s="21"/>
      <c r="V862" s="22" t="str">
        <f t="shared" si="40"/>
        <v/>
      </c>
      <c r="W862" s="23" t="str">
        <f t="shared" si="41"/>
        <v/>
      </c>
    </row>
    <row r="863" spans="1:23" x14ac:dyDescent="0.35">
      <c r="A863" s="19" t="str">
        <f t="shared" si="39"/>
        <v/>
      </c>
      <c r="B863" s="20"/>
      <c r="C863" s="20"/>
      <c r="S863" s="21"/>
      <c r="T863" s="21"/>
      <c r="U863" s="21"/>
      <c r="V863" s="22" t="str">
        <f t="shared" si="40"/>
        <v/>
      </c>
      <c r="W863" s="23" t="str">
        <f t="shared" si="41"/>
        <v/>
      </c>
    </row>
    <row r="864" spans="1:23" x14ac:dyDescent="0.35">
      <c r="A864" s="19" t="str">
        <f t="shared" si="39"/>
        <v/>
      </c>
      <c r="B864" s="20"/>
      <c r="C864" s="20"/>
      <c r="S864" s="21"/>
      <c r="T864" s="21"/>
      <c r="U864" s="21"/>
      <c r="V864" s="22" t="str">
        <f t="shared" si="40"/>
        <v/>
      </c>
      <c r="W864" s="23" t="str">
        <f t="shared" si="41"/>
        <v/>
      </c>
    </row>
    <row r="865" spans="1:23" x14ac:dyDescent="0.35">
      <c r="A865" s="19" t="str">
        <f t="shared" si="39"/>
        <v/>
      </c>
      <c r="B865" s="20"/>
      <c r="C865" s="20"/>
      <c r="S865" s="21"/>
      <c r="T865" s="21"/>
      <c r="U865" s="21"/>
      <c r="V865" s="22" t="str">
        <f t="shared" si="40"/>
        <v/>
      </c>
      <c r="W865" s="23" t="str">
        <f t="shared" si="41"/>
        <v/>
      </c>
    </row>
    <row r="866" spans="1:23" x14ac:dyDescent="0.35">
      <c r="A866" s="19" t="str">
        <f t="shared" si="39"/>
        <v/>
      </c>
      <c r="B866" s="20"/>
      <c r="C866" s="20"/>
      <c r="S866" s="21"/>
      <c r="T866" s="21"/>
      <c r="U866" s="21"/>
      <c r="V866" s="22" t="str">
        <f t="shared" si="40"/>
        <v/>
      </c>
      <c r="W866" s="23" t="str">
        <f t="shared" si="41"/>
        <v/>
      </c>
    </row>
    <row r="867" spans="1:23" x14ac:dyDescent="0.35">
      <c r="A867" s="19" t="str">
        <f t="shared" si="39"/>
        <v/>
      </c>
      <c r="B867" s="20"/>
      <c r="C867" s="20"/>
      <c r="S867" s="21"/>
      <c r="T867" s="21"/>
      <c r="U867" s="21"/>
      <c r="V867" s="22" t="str">
        <f t="shared" si="40"/>
        <v/>
      </c>
      <c r="W867" s="23" t="str">
        <f t="shared" si="41"/>
        <v/>
      </c>
    </row>
    <row r="868" spans="1:23" x14ac:dyDescent="0.35">
      <c r="A868" s="19" t="str">
        <f t="shared" si="39"/>
        <v/>
      </c>
      <c r="B868" s="20"/>
      <c r="C868" s="20"/>
      <c r="S868" s="21"/>
      <c r="T868" s="21"/>
      <c r="U868" s="21"/>
      <c r="V868" s="22" t="str">
        <f t="shared" si="40"/>
        <v/>
      </c>
      <c r="W868" s="23" t="str">
        <f t="shared" si="41"/>
        <v/>
      </c>
    </row>
    <row r="869" spans="1:23" x14ac:dyDescent="0.35">
      <c r="A869" s="19" t="str">
        <f t="shared" si="39"/>
        <v/>
      </c>
      <c r="B869" s="20"/>
      <c r="C869" s="20"/>
      <c r="S869" s="21"/>
      <c r="T869" s="21"/>
      <c r="U869" s="21"/>
      <c r="V869" s="22" t="str">
        <f t="shared" si="40"/>
        <v/>
      </c>
      <c r="W869" s="23" t="str">
        <f t="shared" si="41"/>
        <v/>
      </c>
    </row>
    <row r="870" spans="1:23" x14ac:dyDescent="0.35">
      <c r="A870" s="19" t="str">
        <f t="shared" si="39"/>
        <v/>
      </c>
      <c r="B870" s="20"/>
      <c r="C870" s="20"/>
      <c r="S870" s="21"/>
      <c r="T870" s="21"/>
      <c r="U870" s="21"/>
      <c r="V870" s="22" t="str">
        <f t="shared" si="40"/>
        <v/>
      </c>
      <c r="W870" s="23" t="str">
        <f t="shared" si="41"/>
        <v/>
      </c>
    </row>
    <row r="871" spans="1:23" x14ac:dyDescent="0.35">
      <c r="A871" s="19" t="str">
        <f t="shared" si="39"/>
        <v/>
      </c>
      <c r="B871" s="20"/>
      <c r="C871" s="20"/>
      <c r="S871" s="21"/>
      <c r="T871" s="21"/>
      <c r="U871" s="21"/>
      <c r="V871" s="22" t="str">
        <f t="shared" si="40"/>
        <v/>
      </c>
      <c r="W871" s="23" t="str">
        <f t="shared" si="41"/>
        <v/>
      </c>
    </row>
    <row r="872" spans="1:23" x14ac:dyDescent="0.35">
      <c r="A872" s="19" t="str">
        <f t="shared" si="39"/>
        <v/>
      </c>
      <c r="B872" s="20"/>
      <c r="C872" s="20"/>
      <c r="S872" s="21"/>
      <c r="T872" s="21"/>
      <c r="U872" s="21"/>
      <c r="V872" s="22" t="str">
        <f t="shared" si="40"/>
        <v/>
      </c>
      <c r="W872" s="23" t="str">
        <f t="shared" si="41"/>
        <v/>
      </c>
    </row>
    <row r="873" spans="1:23" x14ac:dyDescent="0.35">
      <c r="A873" s="19" t="str">
        <f t="shared" si="39"/>
        <v/>
      </c>
      <c r="B873" s="20"/>
      <c r="C873" s="20"/>
      <c r="S873" s="21"/>
      <c r="T873" s="21"/>
      <c r="U873" s="21"/>
      <c r="V873" s="22" t="str">
        <f t="shared" si="40"/>
        <v/>
      </c>
      <c r="W873" s="23" t="str">
        <f t="shared" si="41"/>
        <v/>
      </c>
    </row>
    <row r="874" spans="1:23" x14ac:dyDescent="0.35">
      <c r="A874" s="19" t="str">
        <f t="shared" si="39"/>
        <v/>
      </c>
      <c r="B874" s="20"/>
      <c r="C874" s="20"/>
      <c r="S874" s="21"/>
      <c r="T874" s="21"/>
      <c r="U874" s="21"/>
      <c r="V874" s="22" t="str">
        <f t="shared" si="40"/>
        <v/>
      </c>
      <c r="W874" s="23" t="str">
        <f t="shared" si="41"/>
        <v/>
      </c>
    </row>
    <row r="875" spans="1:23" x14ac:dyDescent="0.35">
      <c r="A875" s="19" t="str">
        <f t="shared" si="39"/>
        <v/>
      </c>
      <c r="B875" s="20"/>
      <c r="C875" s="20"/>
      <c r="S875" s="21"/>
      <c r="T875" s="21"/>
      <c r="U875" s="21"/>
      <c r="V875" s="22" t="str">
        <f t="shared" si="40"/>
        <v/>
      </c>
      <c r="W875" s="23" t="str">
        <f t="shared" si="41"/>
        <v/>
      </c>
    </row>
    <row r="876" spans="1:23" x14ac:dyDescent="0.35">
      <c r="A876" s="19" t="str">
        <f t="shared" si="39"/>
        <v/>
      </c>
      <c r="B876" s="20"/>
      <c r="C876" s="20"/>
      <c r="S876" s="21"/>
      <c r="T876" s="21"/>
      <c r="U876" s="21"/>
      <c r="V876" s="22" t="str">
        <f t="shared" si="40"/>
        <v/>
      </c>
      <c r="W876" s="23" t="str">
        <f t="shared" si="41"/>
        <v/>
      </c>
    </row>
    <row r="877" spans="1:23" x14ac:dyDescent="0.35">
      <c r="A877" s="19" t="str">
        <f t="shared" si="39"/>
        <v/>
      </c>
      <c r="B877" s="20"/>
      <c r="C877" s="20"/>
      <c r="S877" s="21"/>
      <c r="T877" s="21"/>
      <c r="U877" s="21"/>
      <c r="V877" s="22" t="str">
        <f t="shared" si="40"/>
        <v/>
      </c>
      <c r="W877" s="23" t="str">
        <f t="shared" si="41"/>
        <v/>
      </c>
    </row>
    <row r="878" spans="1:23" x14ac:dyDescent="0.35">
      <c r="A878" s="19" t="str">
        <f t="shared" si="39"/>
        <v/>
      </c>
      <c r="B878" s="20"/>
      <c r="C878" s="20"/>
      <c r="S878" s="21"/>
      <c r="T878" s="21"/>
      <c r="U878" s="21"/>
      <c r="V878" s="22" t="str">
        <f t="shared" si="40"/>
        <v/>
      </c>
      <c r="W878" s="23" t="str">
        <f t="shared" si="41"/>
        <v/>
      </c>
    </row>
    <row r="879" spans="1:23" x14ac:dyDescent="0.35">
      <c r="A879" s="19" t="str">
        <f t="shared" si="39"/>
        <v/>
      </c>
      <c r="B879" s="20"/>
      <c r="C879" s="20"/>
      <c r="S879" s="21"/>
      <c r="T879" s="21"/>
      <c r="U879" s="21"/>
      <c r="V879" s="22" t="str">
        <f t="shared" si="40"/>
        <v/>
      </c>
      <c r="W879" s="23" t="str">
        <f t="shared" si="41"/>
        <v/>
      </c>
    </row>
    <row r="880" spans="1:23" x14ac:dyDescent="0.35">
      <c r="A880" s="19" t="str">
        <f t="shared" si="39"/>
        <v/>
      </c>
      <c r="B880" s="20"/>
      <c r="C880" s="20"/>
      <c r="S880" s="21"/>
      <c r="T880" s="21"/>
      <c r="U880" s="21"/>
      <c r="V880" s="22" t="str">
        <f t="shared" si="40"/>
        <v/>
      </c>
      <c r="W880" s="23" t="str">
        <f t="shared" si="41"/>
        <v/>
      </c>
    </row>
    <row r="881" spans="1:23" x14ac:dyDescent="0.35">
      <c r="A881" s="19" t="str">
        <f t="shared" si="39"/>
        <v/>
      </c>
      <c r="B881" s="20"/>
      <c r="C881" s="20"/>
      <c r="S881" s="21"/>
      <c r="T881" s="21"/>
      <c r="U881" s="21"/>
      <c r="V881" s="22" t="str">
        <f t="shared" si="40"/>
        <v/>
      </c>
      <c r="W881" s="23" t="str">
        <f t="shared" si="41"/>
        <v/>
      </c>
    </row>
    <row r="882" spans="1:23" x14ac:dyDescent="0.35">
      <c r="A882" s="19" t="str">
        <f t="shared" si="39"/>
        <v/>
      </c>
      <c r="B882" s="20"/>
      <c r="C882" s="20"/>
      <c r="S882" s="21"/>
      <c r="T882" s="21"/>
      <c r="U882" s="21"/>
      <c r="V882" s="22" t="str">
        <f t="shared" si="40"/>
        <v/>
      </c>
      <c r="W882" s="23" t="str">
        <f t="shared" si="41"/>
        <v/>
      </c>
    </row>
    <row r="883" spans="1:23" x14ac:dyDescent="0.35">
      <c r="A883" s="19" t="str">
        <f t="shared" si="39"/>
        <v/>
      </c>
      <c r="B883" s="20"/>
      <c r="C883" s="20"/>
      <c r="S883" s="21"/>
      <c r="T883" s="21"/>
      <c r="U883" s="21"/>
      <c r="V883" s="22" t="str">
        <f t="shared" si="40"/>
        <v/>
      </c>
      <c r="W883" s="23" t="str">
        <f t="shared" si="41"/>
        <v/>
      </c>
    </row>
    <row r="884" spans="1:23" x14ac:dyDescent="0.35">
      <c r="A884" s="19" t="str">
        <f t="shared" si="39"/>
        <v/>
      </c>
      <c r="B884" s="20"/>
      <c r="C884" s="20"/>
      <c r="S884" s="21"/>
      <c r="T884" s="21"/>
      <c r="U884" s="21"/>
      <c r="V884" s="22" t="str">
        <f t="shared" si="40"/>
        <v/>
      </c>
      <c r="W884" s="23" t="str">
        <f t="shared" si="41"/>
        <v/>
      </c>
    </row>
    <row r="885" spans="1:23" x14ac:dyDescent="0.35">
      <c r="A885" s="19" t="str">
        <f t="shared" si="39"/>
        <v/>
      </c>
      <c r="B885" s="20"/>
      <c r="C885" s="20"/>
      <c r="S885" s="21"/>
      <c r="T885" s="21"/>
      <c r="U885" s="21"/>
      <c r="V885" s="22" t="str">
        <f t="shared" si="40"/>
        <v/>
      </c>
      <c r="W885" s="23" t="str">
        <f t="shared" si="41"/>
        <v/>
      </c>
    </row>
    <row r="886" spans="1:23" x14ac:dyDescent="0.35">
      <c r="A886" s="19" t="str">
        <f t="shared" si="39"/>
        <v/>
      </c>
      <c r="B886" s="20"/>
      <c r="C886" s="20"/>
      <c r="S886" s="21"/>
      <c r="T886" s="21"/>
      <c r="U886" s="21"/>
      <c r="V886" s="22" t="str">
        <f t="shared" si="40"/>
        <v/>
      </c>
      <c r="W886" s="23" t="str">
        <f t="shared" si="41"/>
        <v/>
      </c>
    </row>
    <row r="887" spans="1:23" x14ac:dyDescent="0.35">
      <c r="A887" s="19" t="str">
        <f t="shared" si="39"/>
        <v/>
      </c>
      <c r="B887" s="20"/>
      <c r="C887" s="20"/>
      <c r="S887" s="21"/>
      <c r="T887" s="21"/>
      <c r="U887" s="21"/>
      <c r="V887" s="22" t="str">
        <f t="shared" si="40"/>
        <v/>
      </c>
      <c r="W887" s="23" t="str">
        <f t="shared" si="41"/>
        <v/>
      </c>
    </row>
    <row r="888" spans="1:23" x14ac:dyDescent="0.35">
      <c r="A888" s="19" t="str">
        <f t="shared" si="39"/>
        <v/>
      </c>
      <c r="B888" s="20"/>
      <c r="C888" s="20"/>
      <c r="S888" s="21"/>
      <c r="T888" s="21"/>
      <c r="U888" s="21"/>
      <c r="V888" s="22" t="str">
        <f t="shared" si="40"/>
        <v/>
      </c>
      <c r="W888" s="23" t="str">
        <f t="shared" si="41"/>
        <v/>
      </c>
    </row>
    <row r="889" spans="1:23" x14ac:dyDescent="0.35">
      <c r="A889" s="19" t="str">
        <f t="shared" si="39"/>
        <v/>
      </c>
      <c r="B889" s="20"/>
      <c r="C889" s="20"/>
      <c r="S889" s="21"/>
      <c r="T889" s="21"/>
      <c r="U889" s="21"/>
      <c r="V889" s="22" t="str">
        <f t="shared" si="40"/>
        <v/>
      </c>
      <c r="W889" s="23" t="str">
        <f t="shared" si="41"/>
        <v/>
      </c>
    </row>
    <row r="890" spans="1:23" x14ac:dyDescent="0.35">
      <c r="A890" s="19" t="str">
        <f t="shared" si="39"/>
        <v/>
      </c>
      <c r="B890" s="20"/>
      <c r="C890" s="20"/>
      <c r="S890" s="21"/>
      <c r="T890" s="21"/>
      <c r="U890" s="21"/>
      <c r="V890" s="22" t="str">
        <f t="shared" si="40"/>
        <v/>
      </c>
      <c r="W890" s="23" t="str">
        <f t="shared" si="41"/>
        <v/>
      </c>
    </row>
    <row r="891" spans="1:23" x14ac:dyDescent="0.35">
      <c r="A891" s="19" t="str">
        <f t="shared" si="39"/>
        <v/>
      </c>
      <c r="B891" s="20"/>
      <c r="C891" s="20"/>
      <c r="S891" s="21"/>
      <c r="T891" s="21"/>
      <c r="U891" s="21"/>
      <c r="V891" s="22" t="str">
        <f t="shared" si="40"/>
        <v/>
      </c>
      <c r="W891" s="23" t="str">
        <f t="shared" si="41"/>
        <v/>
      </c>
    </row>
    <row r="892" spans="1:23" x14ac:dyDescent="0.35">
      <c r="A892" s="19" t="str">
        <f t="shared" si="39"/>
        <v/>
      </c>
      <c r="B892" s="20"/>
      <c r="C892" s="20"/>
      <c r="S892" s="21"/>
      <c r="T892" s="21"/>
      <c r="U892" s="21"/>
      <c r="V892" s="22" t="str">
        <f t="shared" si="40"/>
        <v/>
      </c>
      <c r="W892" s="23" t="str">
        <f t="shared" si="41"/>
        <v/>
      </c>
    </row>
    <row r="893" spans="1:23" x14ac:dyDescent="0.35">
      <c r="A893" s="19" t="str">
        <f t="shared" si="39"/>
        <v/>
      </c>
      <c r="B893" s="20"/>
      <c r="C893" s="20"/>
      <c r="S893" s="21"/>
      <c r="T893" s="21"/>
      <c r="U893" s="21"/>
      <c r="V893" s="22" t="str">
        <f t="shared" si="40"/>
        <v/>
      </c>
      <c r="W893" s="23" t="str">
        <f t="shared" si="41"/>
        <v/>
      </c>
    </row>
    <row r="894" spans="1:23" x14ac:dyDescent="0.35">
      <c r="A894" s="19" t="str">
        <f t="shared" si="39"/>
        <v/>
      </c>
      <c r="B894" s="20"/>
      <c r="C894" s="20"/>
      <c r="S894" s="21"/>
      <c r="T894" s="21"/>
      <c r="U894" s="21"/>
      <c r="V894" s="22" t="str">
        <f t="shared" si="40"/>
        <v/>
      </c>
      <c r="W894" s="23" t="str">
        <f t="shared" si="41"/>
        <v/>
      </c>
    </row>
    <row r="895" spans="1:23" x14ac:dyDescent="0.35">
      <c r="A895" s="19" t="str">
        <f t="shared" si="39"/>
        <v/>
      </c>
      <c r="B895" s="20"/>
      <c r="C895" s="20"/>
      <c r="S895" s="21"/>
      <c r="T895" s="21"/>
      <c r="U895" s="21"/>
      <c r="V895" s="22" t="str">
        <f t="shared" si="40"/>
        <v/>
      </c>
      <c r="W895" s="23" t="str">
        <f t="shared" si="41"/>
        <v/>
      </c>
    </row>
    <row r="896" spans="1:23" x14ac:dyDescent="0.35">
      <c r="A896" s="19" t="str">
        <f t="shared" si="39"/>
        <v/>
      </c>
      <c r="B896" s="20"/>
      <c r="C896" s="20"/>
      <c r="S896" s="21"/>
      <c r="T896" s="21"/>
      <c r="U896" s="21"/>
      <c r="V896" s="22" t="str">
        <f t="shared" si="40"/>
        <v/>
      </c>
      <c r="W896" s="23" t="str">
        <f t="shared" si="41"/>
        <v/>
      </c>
    </row>
    <row r="897" spans="1:23" x14ac:dyDescent="0.35">
      <c r="A897" s="19" t="str">
        <f t="shared" si="39"/>
        <v/>
      </c>
      <c r="B897" s="20"/>
      <c r="C897" s="20"/>
      <c r="S897" s="21"/>
      <c r="T897" s="21"/>
      <c r="U897" s="21"/>
      <c r="V897" s="22" t="str">
        <f t="shared" si="40"/>
        <v/>
      </c>
      <c r="W897" s="23" t="str">
        <f t="shared" si="41"/>
        <v/>
      </c>
    </row>
    <row r="898" spans="1:23" x14ac:dyDescent="0.35">
      <c r="A898" s="19" t="str">
        <f t="shared" ref="A898:A961" si="42">IF($B898="","",Prefixo&amp;"-"&amp;TEXT(ROW()-1,"0000"))</f>
        <v/>
      </c>
      <c r="B898" s="20"/>
      <c r="C898" s="20"/>
      <c r="S898" s="21"/>
      <c r="T898" s="21"/>
      <c r="U898" s="21"/>
      <c r="V898" s="22" t="str">
        <f t="shared" ref="V898:V961" si="43">IF($T898&gt;0,$T898-$U898,"")</f>
        <v/>
      </c>
      <c r="W898" s="23" t="str">
        <f t="shared" ref="W898:W961" si="44">IF($T898&gt;0,($T898-$U898)/$T898,"")</f>
        <v/>
      </c>
    </row>
    <row r="899" spans="1:23" x14ac:dyDescent="0.35">
      <c r="A899" s="19" t="str">
        <f t="shared" si="42"/>
        <v/>
      </c>
      <c r="B899" s="20"/>
      <c r="C899" s="20"/>
      <c r="S899" s="21"/>
      <c r="T899" s="21"/>
      <c r="U899" s="21"/>
      <c r="V899" s="22" t="str">
        <f t="shared" si="43"/>
        <v/>
      </c>
      <c r="W899" s="23" t="str">
        <f t="shared" si="44"/>
        <v/>
      </c>
    </row>
    <row r="900" spans="1:23" x14ac:dyDescent="0.35">
      <c r="A900" s="19" t="str">
        <f t="shared" si="42"/>
        <v/>
      </c>
      <c r="B900" s="20"/>
      <c r="C900" s="20"/>
      <c r="S900" s="21"/>
      <c r="T900" s="21"/>
      <c r="U900" s="21"/>
      <c r="V900" s="22" t="str">
        <f t="shared" si="43"/>
        <v/>
      </c>
      <c r="W900" s="23" t="str">
        <f t="shared" si="44"/>
        <v/>
      </c>
    </row>
    <row r="901" spans="1:23" x14ac:dyDescent="0.35">
      <c r="A901" s="19" t="str">
        <f t="shared" si="42"/>
        <v/>
      </c>
      <c r="B901" s="20"/>
      <c r="C901" s="20"/>
      <c r="S901" s="21"/>
      <c r="T901" s="21"/>
      <c r="U901" s="21"/>
      <c r="V901" s="22" t="str">
        <f t="shared" si="43"/>
        <v/>
      </c>
      <c r="W901" s="23" t="str">
        <f t="shared" si="44"/>
        <v/>
      </c>
    </row>
    <row r="902" spans="1:23" x14ac:dyDescent="0.35">
      <c r="A902" s="19" t="str">
        <f t="shared" si="42"/>
        <v/>
      </c>
      <c r="B902" s="20"/>
      <c r="C902" s="20"/>
      <c r="S902" s="21"/>
      <c r="T902" s="21"/>
      <c r="U902" s="21"/>
      <c r="V902" s="22" t="str">
        <f t="shared" si="43"/>
        <v/>
      </c>
      <c r="W902" s="23" t="str">
        <f t="shared" si="44"/>
        <v/>
      </c>
    </row>
    <row r="903" spans="1:23" x14ac:dyDescent="0.35">
      <c r="A903" s="19" t="str">
        <f t="shared" si="42"/>
        <v/>
      </c>
      <c r="B903" s="20"/>
      <c r="C903" s="20"/>
      <c r="S903" s="21"/>
      <c r="T903" s="21"/>
      <c r="U903" s="21"/>
      <c r="V903" s="22" t="str">
        <f t="shared" si="43"/>
        <v/>
      </c>
      <c r="W903" s="23" t="str">
        <f t="shared" si="44"/>
        <v/>
      </c>
    </row>
    <row r="904" spans="1:23" x14ac:dyDescent="0.35">
      <c r="A904" s="19" t="str">
        <f t="shared" si="42"/>
        <v/>
      </c>
      <c r="B904" s="20"/>
      <c r="C904" s="20"/>
      <c r="S904" s="21"/>
      <c r="T904" s="21"/>
      <c r="U904" s="21"/>
      <c r="V904" s="22" t="str">
        <f t="shared" si="43"/>
        <v/>
      </c>
      <c r="W904" s="23" t="str">
        <f t="shared" si="44"/>
        <v/>
      </c>
    </row>
    <row r="905" spans="1:23" x14ac:dyDescent="0.35">
      <c r="A905" s="19" t="str">
        <f t="shared" si="42"/>
        <v/>
      </c>
      <c r="B905" s="20"/>
      <c r="C905" s="20"/>
      <c r="S905" s="21"/>
      <c r="T905" s="21"/>
      <c r="U905" s="21"/>
      <c r="V905" s="22" t="str">
        <f t="shared" si="43"/>
        <v/>
      </c>
      <c r="W905" s="23" t="str">
        <f t="shared" si="44"/>
        <v/>
      </c>
    </row>
    <row r="906" spans="1:23" x14ac:dyDescent="0.35">
      <c r="A906" s="19" t="str">
        <f t="shared" si="42"/>
        <v/>
      </c>
      <c r="B906" s="20"/>
      <c r="C906" s="20"/>
      <c r="S906" s="21"/>
      <c r="T906" s="21"/>
      <c r="U906" s="21"/>
      <c r="V906" s="22" t="str">
        <f t="shared" si="43"/>
        <v/>
      </c>
      <c r="W906" s="23" t="str">
        <f t="shared" si="44"/>
        <v/>
      </c>
    </row>
    <row r="907" spans="1:23" x14ac:dyDescent="0.35">
      <c r="A907" s="19" t="str">
        <f t="shared" si="42"/>
        <v/>
      </c>
      <c r="B907" s="20"/>
      <c r="C907" s="20"/>
      <c r="S907" s="21"/>
      <c r="T907" s="21"/>
      <c r="U907" s="21"/>
      <c r="V907" s="22" t="str">
        <f t="shared" si="43"/>
        <v/>
      </c>
      <c r="W907" s="23" t="str">
        <f t="shared" si="44"/>
        <v/>
      </c>
    </row>
    <row r="908" spans="1:23" x14ac:dyDescent="0.35">
      <c r="A908" s="19" t="str">
        <f t="shared" si="42"/>
        <v/>
      </c>
      <c r="B908" s="20"/>
      <c r="C908" s="20"/>
      <c r="S908" s="21"/>
      <c r="T908" s="21"/>
      <c r="U908" s="21"/>
      <c r="V908" s="22" t="str">
        <f t="shared" si="43"/>
        <v/>
      </c>
      <c r="W908" s="23" t="str">
        <f t="shared" si="44"/>
        <v/>
      </c>
    </row>
    <row r="909" spans="1:23" x14ac:dyDescent="0.35">
      <c r="A909" s="19" t="str">
        <f t="shared" si="42"/>
        <v/>
      </c>
      <c r="B909" s="20"/>
      <c r="C909" s="20"/>
      <c r="S909" s="21"/>
      <c r="T909" s="21"/>
      <c r="U909" s="21"/>
      <c r="V909" s="22" t="str">
        <f t="shared" si="43"/>
        <v/>
      </c>
      <c r="W909" s="23" t="str">
        <f t="shared" si="44"/>
        <v/>
      </c>
    </row>
    <row r="910" spans="1:23" x14ac:dyDescent="0.35">
      <c r="A910" s="19" t="str">
        <f t="shared" si="42"/>
        <v/>
      </c>
      <c r="B910" s="20"/>
      <c r="C910" s="20"/>
      <c r="S910" s="21"/>
      <c r="T910" s="21"/>
      <c r="U910" s="21"/>
      <c r="V910" s="22" t="str">
        <f t="shared" si="43"/>
        <v/>
      </c>
      <c r="W910" s="23" t="str">
        <f t="shared" si="44"/>
        <v/>
      </c>
    </row>
    <row r="911" spans="1:23" x14ac:dyDescent="0.35">
      <c r="A911" s="19" t="str">
        <f t="shared" si="42"/>
        <v/>
      </c>
      <c r="B911" s="20"/>
      <c r="C911" s="20"/>
      <c r="S911" s="21"/>
      <c r="T911" s="21"/>
      <c r="U911" s="21"/>
      <c r="V911" s="22" t="str">
        <f t="shared" si="43"/>
        <v/>
      </c>
      <c r="W911" s="23" t="str">
        <f t="shared" si="44"/>
        <v/>
      </c>
    </row>
    <row r="912" spans="1:23" x14ac:dyDescent="0.35">
      <c r="A912" s="19" t="str">
        <f t="shared" si="42"/>
        <v/>
      </c>
      <c r="B912" s="20"/>
      <c r="C912" s="20"/>
      <c r="S912" s="21"/>
      <c r="T912" s="21"/>
      <c r="U912" s="21"/>
      <c r="V912" s="22" t="str">
        <f t="shared" si="43"/>
        <v/>
      </c>
      <c r="W912" s="23" t="str">
        <f t="shared" si="44"/>
        <v/>
      </c>
    </row>
    <row r="913" spans="1:23" x14ac:dyDescent="0.35">
      <c r="A913" s="19" t="str">
        <f t="shared" si="42"/>
        <v/>
      </c>
      <c r="B913" s="20"/>
      <c r="C913" s="20"/>
      <c r="S913" s="21"/>
      <c r="T913" s="21"/>
      <c r="U913" s="21"/>
      <c r="V913" s="22" t="str">
        <f t="shared" si="43"/>
        <v/>
      </c>
      <c r="W913" s="23" t="str">
        <f t="shared" si="44"/>
        <v/>
      </c>
    </row>
    <row r="914" spans="1:23" x14ac:dyDescent="0.35">
      <c r="A914" s="19" t="str">
        <f t="shared" si="42"/>
        <v/>
      </c>
      <c r="B914" s="20"/>
      <c r="C914" s="20"/>
      <c r="S914" s="21"/>
      <c r="T914" s="21"/>
      <c r="U914" s="21"/>
      <c r="V914" s="22" t="str">
        <f t="shared" si="43"/>
        <v/>
      </c>
      <c r="W914" s="23" t="str">
        <f t="shared" si="44"/>
        <v/>
      </c>
    </row>
    <row r="915" spans="1:23" x14ac:dyDescent="0.35">
      <c r="A915" s="19" t="str">
        <f t="shared" si="42"/>
        <v/>
      </c>
      <c r="B915" s="20"/>
      <c r="C915" s="20"/>
      <c r="S915" s="21"/>
      <c r="T915" s="21"/>
      <c r="U915" s="21"/>
      <c r="V915" s="22" t="str">
        <f t="shared" si="43"/>
        <v/>
      </c>
      <c r="W915" s="23" t="str">
        <f t="shared" si="44"/>
        <v/>
      </c>
    </row>
    <row r="916" spans="1:23" x14ac:dyDescent="0.35">
      <c r="A916" s="19" t="str">
        <f t="shared" si="42"/>
        <v/>
      </c>
      <c r="B916" s="20"/>
      <c r="C916" s="20"/>
      <c r="S916" s="21"/>
      <c r="T916" s="21"/>
      <c r="U916" s="21"/>
      <c r="V916" s="22" t="str">
        <f t="shared" si="43"/>
        <v/>
      </c>
      <c r="W916" s="23" t="str">
        <f t="shared" si="44"/>
        <v/>
      </c>
    </row>
    <row r="917" spans="1:23" x14ac:dyDescent="0.35">
      <c r="A917" s="19" t="str">
        <f t="shared" si="42"/>
        <v/>
      </c>
      <c r="B917" s="20"/>
      <c r="C917" s="20"/>
      <c r="S917" s="21"/>
      <c r="T917" s="21"/>
      <c r="U917" s="21"/>
      <c r="V917" s="22" t="str">
        <f t="shared" si="43"/>
        <v/>
      </c>
      <c r="W917" s="23" t="str">
        <f t="shared" si="44"/>
        <v/>
      </c>
    </row>
    <row r="918" spans="1:23" x14ac:dyDescent="0.35">
      <c r="A918" s="19" t="str">
        <f t="shared" si="42"/>
        <v/>
      </c>
      <c r="B918" s="20"/>
      <c r="C918" s="20"/>
      <c r="S918" s="21"/>
      <c r="T918" s="21"/>
      <c r="U918" s="21"/>
      <c r="V918" s="22" t="str">
        <f t="shared" si="43"/>
        <v/>
      </c>
      <c r="W918" s="23" t="str">
        <f t="shared" si="44"/>
        <v/>
      </c>
    </row>
    <row r="919" spans="1:23" x14ac:dyDescent="0.35">
      <c r="A919" s="19" t="str">
        <f t="shared" si="42"/>
        <v/>
      </c>
      <c r="B919" s="20"/>
      <c r="C919" s="20"/>
      <c r="S919" s="21"/>
      <c r="T919" s="21"/>
      <c r="U919" s="21"/>
      <c r="V919" s="22" t="str">
        <f t="shared" si="43"/>
        <v/>
      </c>
      <c r="W919" s="23" t="str">
        <f t="shared" si="44"/>
        <v/>
      </c>
    </row>
    <row r="920" spans="1:23" x14ac:dyDescent="0.35">
      <c r="A920" s="19" t="str">
        <f t="shared" si="42"/>
        <v/>
      </c>
      <c r="B920" s="20"/>
      <c r="C920" s="20"/>
      <c r="S920" s="21"/>
      <c r="T920" s="21"/>
      <c r="U920" s="21"/>
      <c r="V920" s="22" t="str">
        <f t="shared" si="43"/>
        <v/>
      </c>
      <c r="W920" s="23" t="str">
        <f t="shared" si="44"/>
        <v/>
      </c>
    </row>
    <row r="921" spans="1:23" x14ac:dyDescent="0.35">
      <c r="A921" s="19" t="str">
        <f t="shared" si="42"/>
        <v/>
      </c>
      <c r="B921" s="20"/>
      <c r="C921" s="20"/>
      <c r="S921" s="21"/>
      <c r="T921" s="21"/>
      <c r="U921" s="21"/>
      <c r="V921" s="22" t="str">
        <f t="shared" si="43"/>
        <v/>
      </c>
      <c r="W921" s="23" t="str">
        <f t="shared" si="44"/>
        <v/>
      </c>
    </row>
    <row r="922" spans="1:23" x14ac:dyDescent="0.35">
      <c r="A922" s="19" t="str">
        <f t="shared" si="42"/>
        <v/>
      </c>
      <c r="B922" s="20"/>
      <c r="C922" s="20"/>
      <c r="S922" s="21"/>
      <c r="T922" s="21"/>
      <c r="U922" s="21"/>
      <c r="V922" s="22" t="str">
        <f t="shared" si="43"/>
        <v/>
      </c>
      <c r="W922" s="23" t="str">
        <f t="shared" si="44"/>
        <v/>
      </c>
    </row>
    <row r="923" spans="1:23" x14ac:dyDescent="0.35">
      <c r="A923" s="19" t="str">
        <f t="shared" si="42"/>
        <v/>
      </c>
      <c r="B923" s="20"/>
      <c r="C923" s="20"/>
      <c r="S923" s="21"/>
      <c r="T923" s="21"/>
      <c r="U923" s="21"/>
      <c r="V923" s="22" t="str">
        <f t="shared" si="43"/>
        <v/>
      </c>
      <c r="W923" s="23" t="str">
        <f t="shared" si="44"/>
        <v/>
      </c>
    </row>
    <row r="924" spans="1:23" x14ac:dyDescent="0.35">
      <c r="A924" s="19" t="str">
        <f t="shared" si="42"/>
        <v/>
      </c>
      <c r="B924" s="20"/>
      <c r="C924" s="20"/>
      <c r="S924" s="21"/>
      <c r="T924" s="21"/>
      <c r="U924" s="21"/>
      <c r="V924" s="22" t="str">
        <f t="shared" si="43"/>
        <v/>
      </c>
      <c r="W924" s="23" t="str">
        <f t="shared" si="44"/>
        <v/>
      </c>
    </row>
    <row r="925" spans="1:23" x14ac:dyDescent="0.35">
      <c r="A925" s="19" t="str">
        <f t="shared" si="42"/>
        <v/>
      </c>
      <c r="B925" s="20"/>
      <c r="C925" s="20"/>
      <c r="S925" s="21"/>
      <c r="T925" s="21"/>
      <c r="U925" s="21"/>
      <c r="V925" s="22" t="str">
        <f t="shared" si="43"/>
        <v/>
      </c>
      <c r="W925" s="23" t="str">
        <f t="shared" si="44"/>
        <v/>
      </c>
    </row>
    <row r="926" spans="1:23" x14ac:dyDescent="0.35">
      <c r="A926" s="19" t="str">
        <f t="shared" si="42"/>
        <v/>
      </c>
      <c r="B926" s="20"/>
      <c r="C926" s="20"/>
      <c r="S926" s="21"/>
      <c r="T926" s="21"/>
      <c r="U926" s="21"/>
      <c r="V926" s="22" t="str">
        <f t="shared" si="43"/>
        <v/>
      </c>
      <c r="W926" s="23" t="str">
        <f t="shared" si="44"/>
        <v/>
      </c>
    </row>
    <row r="927" spans="1:23" x14ac:dyDescent="0.35">
      <c r="A927" s="19" t="str">
        <f t="shared" si="42"/>
        <v/>
      </c>
      <c r="B927" s="20"/>
      <c r="C927" s="20"/>
      <c r="S927" s="21"/>
      <c r="T927" s="21"/>
      <c r="U927" s="21"/>
      <c r="V927" s="22" t="str">
        <f t="shared" si="43"/>
        <v/>
      </c>
      <c r="W927" s="23" t="str">
        <f t="shared" si="44"/>
        <v/>
      </c>
    </row>
    <row r="928" spans="1:23" x14ac:dyDescent="0.35">
      <c r="A928" s="19" t="str">
        <f t="shared" si="42"/>
        <v/>
      </c>
      <c r="B928" s="20"/>
      <c r="C928" s="20"/>
      <c r="S928" s="21"/>
      <c r="T928" s="21"/>
      <c r="U928" s="21"/>
      <c r="V928" s="22" t="str">
        <f t="shared" si="43"/>
        <v/>
      </c>
      <c r="W928" s="23" t="str">
        <f t="shared" si="44"/>
        <v/>
      </c>
    </row>
    <row r="929" spans="1:23" x14ac:dyDescent="0.35">
      <c r="A929" s="19" t="str">
        <f t="shared" si="42"/>
        <v/>
      </c>
      <c r="B929" s="20"/>
      <c r="C929" s="20"/>
      <c r="S929" s="21"/>
      <c r="T929" s="21"/>
      <c r="U929" s="21"/>
      <c r="V929" s="22" t="str">
        <f t="shared" si="43"/>
        <v/>
      </c>
      <c r="W929" s="23" t="str">
        <f t="shared" si="44"/>
        <v/>
      </c>
    </row>
    <row r="930" spans="1:23" x14ac:dyDescent="0.35">
      <c r="A930" s="19" t="str">
        <f t="shared" si="42"/>
        <v/>
      </c>
      <c r="B930" s="20"/>
      <c r="C930" s="20"/>
      <c r="S930" s="21"/>
      <c r="T930" s="21"/>
      <c r="U930" s="21"/>
      <c r="V930" s="22" t="str">
        <f t="shared" si="43"/>
        <v/>
      </c>
      <c r="W930" s="23" t="str">
        <f t="shared" si="44"/>
        <v/>
      </c>
    </row>
    <row r="931" spans="1:23" x14ac:dyDescent="0.35">
      <c r="A931" s="19" t="str">
        <f t="shared" si="42"/>
        <v/>
      </c>
      <c r="B931" s="20"/>
      <c r="C931" s="20"/>
      <c r="S931" s="21"/>
      <c r="T931" s="21"/>
      <c r="U931" s="21"/>
      <c r="V931" s="22" t="str">
        <f t="shared" si="43"/>
        <v/>
      </c>
      <c r="W931" s="23" t="str">
        <f t="shared" si="44"/>
        <v/>
      </c>
    </row>
    <row r="932" spans="1:23" x14ac:dyDescent="0.35">
      <c r="A932" s="19" t="str">
        <f t="shared" si="42"/>
        <v/>
      </c>
      <c r="B932" s="20"/>
      <c r="C932" s="20"/>
      <c r="S932" s="21"/>
      <c r="T932" s="21"/>
      <c r="U932" s="21"/>
      <c r="V932" s="22" t="str">
        <f t="shared" si="43"/>
        <v/>
      </c>
      <c r="W932" s="23" t="str">
        <f t="shared" si="44"/>
        <v/>
      </c>
    </row>
    <row r="933" spans="1:23" x14ac:dyDescent="0.35">
      <c r="A933" s="19" t="str">
        <f t="shared" si="42"/>
        <v/>
      </c>
      <c r="B933" s="20"/>
      <c r="C933" s="20"/>
      <c r="S933" s="21"/>
      <c r="T933" s="21"/>
      <c r="U933" s="21"/>
      <c r="V933" s="22" t="str">
        <f t="shared" si="43"/>
        <v/>
      </c>
      <c r="W933" s="23" t="str">
        <f t="shared" si="44"/>
        <v/>
      </c>
    </row>
    <row r="934" spans="1:23" x14ac:dyDescent="0.35">
      <c r="A934" s="19" t="str">
        <f t="shared" si="42"/>
        <v/>
      </c>
      <c r="B934" s="20"/>
      <c r="C934" s="20"/>
      <c r="S934" s="21"/>
      <c r="T934" s="21"/>
      <c r="U934" s="21"/>
      <c r="V934" s="22" t="str">
        <f t="shared" si="43"/>
        <v/>
      </c>
      <c r="W934" s="23" t="str">
        <f t="shared" si="44"/>
        <v/>
      </c>
    </row>
    <row r="935" spans="1:23" x14ac:dyDescent="0.35">
      <c r="A935" s="19" t="str">
        <f t="shared" si="42"/>
        <v/>
      </c>
      <c r="B935" s="20"/>
      <c r="C935" s="20"/>
      <c r="S935" s="21"/>
      <c r="T935" s="21"/>
      <c r="U935" s="21"/>
      <c r="V935" s="22" t="str">
        <f t="shared" si="43"/>
        <v/>
      </c>
      <c r="W935" s="23" t="str">
        <f t="shared" si="44"/>
        <v/>
      </c>
    </row>
    <row r="936" spans="1:23" x14ac:dyDescent="0.35">
      <c r="A936" s="19" t="str">
        <f t="shared" si="42"/>
        <v/>
      </c>
      <c r="B936" s="20"/>
      <c r="C936" s="20"/>
      <c r="S936" s="21"/>
      <c r="T936" s="21"/>
      <c r="U936" s="21"/>
      <c r="V936" s="22" t="str">
        <f t="shared" si="43"/>
        <v/>
      </c>
      <c r="W936" s="23" t="str">
        <f t="shared" si="44"/>
        <v/>
      </c>
    </row>
    <row r="937" spans="1:23" x14ac:dyDescent="0.35">
      <c r="A937" s="19" t="str">
        <f t="shared" si="42"/>
        <v/>
      </c>
      <c r="B937" s="20"/>
      <c r="C937" s="20"/>
      <c r="S937" s="21"/>
      <c r="T937" s="21"/>
      <c r="U937" s="21"/>
      <c r="V937" s="22" t="str">
        <f t="shared" si="43"/>
        <v/>
      </c>
      <c r="W937" s="23" t="str">
        <f t="shared" si="44"/>
        <v/>
      </c>
    </row>
    <row r="938" spans="1:23" x14ac:dyDescent="0.35">
      <c r="A938" s="19" t="str">
        <f t="shared" si="42"/>
        <v/>
      </c>
      <c r="B938" s="20"/>
      <c r="C938" s="20"/>
      <c r="S938" s="21"/>
      <c r="T938" s="21"/>
      <c r="U938" s="21"/>
      <c r="V938" s="22" t="str">
        <f t="shared" si="43"/>
        <v/>
      </c>
      <c r="W938" s="23" t="str">
        <f t="shared" si="44"/>
        <v/>
      </c>
    </row>
    <row r="939" spans="1:23" x14ac:dyDescent="0.35">
      <c r="A939" s="19" t="str">
        <f t="shared" si="42"/>
        <v/>
      </c>
      <c r="B939" s="20"/>
      <c r="C939" s="20"/>
      <c r="S939" s="21"/>
      <c r="T939" s="21"/>
      <c r="U939" s="21"/>
      <c r="V939" s="22" t="str">
        <f t="shared" si="43"/>
        <v/>
      </c>
      <c r="W939" s="23" t="str">
        <f t="shared" si="44"/>
        <v/>
      </c>
    </row>
    <row r="940" spans="1:23" x14ac:dyDescent="0.35">
      <c r="A940" s="19" t="str">
        <f t="shared" si="42"/>
        <v/>
      </c>
      <c r="B940" s="20"/>
      <c r="C940" s="20"/>
      <c r="S940" s="21"/>
      <c r="T940" s="21"/>
      <c r="U940" s="21"/>
      <c r="V940" s="22" t="str">
        <f t="shared" si="43"/>
        <v/>
      </c>
      <c r="W940" s="23" t="str">
        <f t="shared" si="44"/>
        <v/>
      </c>
    </row>
    <row r="941" spans="1:23" x14ac:dyDescent="0.35">
      <c r="A941" s="19" t="str">
        <f t="shared" si="42"/>
        <v/>
      </c>
      <c r="B941" s="20"/>
      <c r="C941" s="20"/>
      <c r="S941" s="21"/>
      <c r="T941" s="21"/>
      <c r="U941" s="21"/>
      <c r="V941" s="22" t="str">
        <f t="shared" si="43"/>
        <v/>
      </c>
      <c r="W941" s="23" t="str">
        <f t="shared" si="44"/>
        <v/>
      </c>
    </row>
    <row r="942" spans="1:23" x14ac:dyDescent="0.35">
      <c r="A942" s="19" t="str">
        <f t="shared" si="42"/>
        <v/>
      </c>
      <c r="B942" s="20"/>
      <c r="C942" s="20"/>
      <c r="S942" s="21"/>
      <c r="T942" s="21"/>
      <c r="U942" s="21"/>
      <c r="V942" s="22" t="str">
        <f t="shared" si="43"/>
        <v/>
      </c>
      <c r="W942" s="23" t="str">
        <f t="shared" si="44"/>
        <v/>
      </c>
    </row>
    <row r="943" spans="1:23" x14ac:dyDescent="0.35">
      <c r="A943" s="19" t="str">
        <f t="shared" si="42"/>
        <v/>
      </c>
      <c r="B943" s="20"/>
      <c r="C943" s="20"/>
      <c r="S943" s="21"/>
      <c r="T943" s="21"/>
      <c r="U943" s="21"/>
      <c r="V943" s="22" t="str">
        <f t="shared" si="43"/>
        <v/>
      </c>
      <c r="W943" s="23" t="str">
        <f t="shared" si="44"/>
        <v/>
      </c>
    </row>
    <row r="944" spans="1:23" x14ac:dyDescent="0.35">
      <c r="A944" s="19" t="str">
        <f t="shared" si="42"/>
        <v/>
      </c>
      <c r="B944" s="20"/>
      <c r="C944" s="20"/>
      <c r="S944" s="21"/>
      <c r="T944" s="21"/>
      <c r="U944" s="21"/>
      <c r="V944" s="22" t="str">
        <f t="shared" si="43"/>
        <v/>
      </c>
      <c r="W944" s="23" t="str">
        <f t="shared" si="44"/>
        <v/>
      </c>
    </row>
    <row r="945" spans="1:23" x14ac:dyDescent="0.35">
      <c r="A945" s="19" t="str">
        <f t="shared" si="42"/>
        <v/>
      </c>
      <c r="B945" s="20"/>
      <c r="C945" s="20"/>
      <c r="S945" s="21"/>
      <c r="T945" s="21"/>
      <c r="U945" s="21"/>
      <c r="V945" s="22" t="str">
        <f t="shared" si="43"/>
        <v/>
      </c>
      <c r="W945" s="23" t="str">
        <f t="shared" si="44"/>
        <v/>
      </c>
    </row>
    <row r="946" spans="1:23" x14ac:dyDescent="0.35">
      <c r="A946" s="19" t="str">
        <f t="shared" si="42"/>
        <v/>
      </c>
      <c r="B946" s="20"/>
      <c r="C946" s="20"/>
      <c r="S946" s="21"/>
      <c r="T946" s="21"/>
      <c r="U946" s="21"/>
      <c r="V946" s="22" t="str">
        <f t="shared" si="43"/>
        <v/>
      </c>
      <c r="W946" s="23" t="str">
        <f t="shared" si="44"/>
        <v/>
      </c>
    </row>
    <row r="947" spans="1:23" x14ac:dyDescent="0.35">
      <c r="A947" s="19" t="str">
        <f t="shared" si="42"/>
        <v/>
      </c>
      <c r="B947" s="20"/>
      <c r="C947" s="20"/>
      <c r="S947" s="21"/>
      <c r="T947" s="21"/>
      <c r="U947" s="21"/>
      <c r="V947" s="22" t="str">
        <f t="shared" si="43"/>
        <v/>
      </c>
      <c r="W947" s="23" t="str">
        <f t="shared" si="44"/>
        <v/>
      </c>
    </row>
    <row r="948" spans="1:23" x14ac:dyDescent="0.35">
      <c r="A948" s="19" t="str">
        <f t="shared" si="42"/>
        <v/>
      </c>
      <c r="B948" s="20"/>
      <c r="C948" s="20"/>
      <c r="S948" s="21"/>
      <c r="T948" s="21"/>
      <c r="U948" s="21"/>
      <c r="V948" s="22" t="str">
        <f t="shared" si="43"/>
        <v/>
      </c>
      <c r="W948" s="23" t="str">
        <f t="shared" si="44"/>
        <v/>
      </c>
    </row>
    <row r="949" spans="1:23" x14ac:dyDescent="0.35">
      <c r="A949" s="19" t="str">
        <f t="shared" si="42"/>
        <v/>
      </c>
      <c r="B949" s="20"/>
      <c r="C949" s="20"/>
      <c r="S949" s="21"/>
      <c r="T949" s="21"/>
      <c r="U949" s="21"/>
      <c r="V949" s="22" t="str">
        <f t="shared" si="43"/>
        <v/>
      </c>
      <c r="W949" s="23" t="str">
        <f t="shared" si="44"/>
        <v/>
      </c>
    </row>
    <row r="950" spans="1:23" x14ac:dyDescent="0.35">
      <c r="A950" s="19" t="str">
        <f t="shared" si="42"/>
        <v/>
      </c>
      <c r="B950" s="20"/>
      <c r="C950" s="20"/>
      <c r="S950" s="21"/>
      <c r="T950" s="21"/>
      <c r="U950" s="21"/>
      <c r="V950" s="22" t="str">
        <f t="shared" si="43"/>
        <v/>
      </c>
      <c r="W950" s="23" t="str">
        <f t="shared" si="44"/>
        <v/>
      </c>
    </row>
    <row r="951" spans="1:23" x14ac:dyDescent="0.35">
      <c r="A951" s="19" t="str">
        <f t="shared" si="42"/>
        <v/>
      </c>
      <c r="B951" s="20"/>
      <c r="C951" s="20"/>
      <c r="S951" s="21"/>
      <c r="T951" s="21"/>
      <c r="U951" s="21"/>
      <c r="V951" s="22" t="str">
        <f t="shared" si="43"/>
        <v/>
      </c>
      <c r="W951" s="23" t="str">
        <f t="shared" si="44"/>
        <v/>
      </c>
    </row>
    <row r="952" spans="1:23" x14ac:dyDescent="0.35">
      <c r="A952" s="19" t="str">
        <f t="shared" si="42"/>
        <v/>
      </c>
      <c r="B952" s="20"/>
      <c r="C952" s="20"/>
      <c r="S952" s="21"/>
      <c r="T952" s="21"/>
      <c r="U952" s="21"/>
      <c r="V952" s="22" t="str">
        <f t="shared" si="43"/>
        <v/>
      </c>
      <c r="W952" s="23" t="str">
        <f t="shared" si="44"/>
        <v/>
      </c>
    </row>
    <row r="953" spans="1:23" x14ac:dyDescent="0.35">
      <c r="A953" s="19" t="str">
        <f t="shared" si="42"/>
        <v/>
      </c>
      <c r="B953" s="20"/>
      <c r="C953" s="20"/>
      <c r="S953" s="21"/>
      <c r="T953" s="21"/>
      <c r="U953" s="21"/>
      <c r="V953" s="22" t="str">
        <f t="shared" si="43"/>
        <v/>
      </c>
      <c r="W953" s="23" t="str">
        <f t="shared" si="44"/>
        <v/>
      </c>
    </row>
    <row r="954" spans="1:23" x14ac:dyDescent="0.35">
      <c r="A954" s="19" t="str">
        <f t="shared" si="42"/>
        <v/>
      </c>
      <c r="B954" s="20"/>
      <c r="C954" s="20"/>
      <c r="S954" s="21"/>
      <c r="T954" s="21"/>
      <c r="U954" s="21"/>
      <c r="V954" s="22" t="str">
        <f t="shared" si="43"/>
        <v/>
      </c>
      <c r="W954" s="23" t="str">
        <f t="shared" si="44"/>
        <v/>
      </c>
    </row>
    <row r="955" spans="1:23" x14ac:dyDescent="0.35">
      <c r="A955" s="19" t="str">
        <f t="shared" si="42"/>
        <v/>
      </c>
      <c r="B955" s="20"/>
      <c r="C955" s="20"/>
      <c r="S955" s="21"/>
      <c r="T955" s="21"/>
      <c r="U955" s="21"/>
      <c r="V955" s="22" t="str">
        <f t="shared" si="43"/>
        <v/>
      </c>
      <c r="W955" s="23" t="str">
        <f t="shared" si="44"/>
        <v/>
      </c>
    </row>
    <row r="956" spans="1:23" x14ac:dyDescent="0.35">
      <c r="A956" s="19" t="str">
        <f t="shared" si="42"/>
        <v/>
      </c>
      <c r="B956" s="20"/>
      <c r="C956" s="20"/>
      <c r="S956" s="21"/>
      <c r="T956" s="21"/>
      <c r="U956" s="21"/>
      <c r="V956" s="22" t="str">
        <f t="shared" si="43"/>
        <v/>
      </c>
      <c r="W956" s="23" t="str">
        <f t="shared" si="44"/>
        <v/>
      </c>
    </row>
    <row r="957" spans="1:23" x14ac:dyDescent="0.35">
      <c r="A957" s="19" t="str">
        <f t="shared" si="42"/>
        <v/>
      </c>
      <c r="B957" s="20"/>
      <c r="C957" s="20"/>
      <c r="S957" s="21"/>
      <c r="T957" s="21"/>
      <c r="U957" s="21"/>
      <c r="V957" s="22" t="str">
        <f t="shared" si="43"/>
        <v/>
      </c>
      <c r="W957" s="23" t="str">
        <f t="shared" si="44"/>
        <v/>
      </c>
    </row>
    <row r="958" spans="1:23" x14ac:dyDescent="0.35">
      <c r="A958" s="19" t="str">
        <f t="shared" si="42"/>
        <v/>
      </c>
      <c r="B958" s="20"/>
      <c r="C958" s="20"/>
      <c r="S958" s="21"/>
      <c r="T958" s="21"/>
      <c r="U958" s="21"/>
      <c r="V958" s="22" t="str">
        <f t="shared" si="43"/>
        <v/>
      </c>
      <c r="W958" s="23" t="str">
        <f t="shared" si="44"/>
        <v/>
      </c>
    </row>
    <row r="959" spans="1:23" x14ac:dyDescent="0.35">
      <c r="A959" s="19" t="str">
        <f t="shared" si="42"/>
        <v/>
      </c>
      <c r="B959" s="20"/>
      <c r="C959" s="20"/>
      <c r="S959" s="21"/>
      <c r="T959" s="21"/>
      <c r="U959" s="21"/>
      <c r="V959" s="22" t="str">
        <f t="shared" si="43"/>
        <v/>
      </c>
      <c r="W959" s="23" t="str">
        <f t="shared" si="44"/>
        <v/>
      </c>
    </row>
    <row r="960" spans="1:23" x14ac:dyDescent="0.35">
      <c r="A960" s="19" t="str">
        <f t="shared" si="42"/>
        <v/>
      </c>
      <c r="B960" s="20"/>
      <c r="C960" s="20"/>
      <c r="S960" s="21"/>
      <c r="T960" s="21"/>
      <c r="U960" s="21"/>
      <c r="V960" s="22" t="str">
        <f t="shared" si="43"/>
        <v/>
      </c>
      <c r="W960" s="23" t="str">
        <f t="shared" si="44"/>
        <v/>
      </c>
    </row>
    <row r="961" spans="1:23" x14ac:dyDescent="0.35">
      <c r="A961" s="19" t="str">
        <f t="shared" si="42"/>
        <v/>
      </c>
      <c r="B961" s="20"/>
      <c r="C961" s="20"/>
      <c r="S961" s="21"/>
      <c r="T961" s="21"/>
      <c r="U961" s="21"/>
      <c r="V961" s="22" t="str">
        <f t="shared" si="43"/>
        <v/>
      </c>
      <c r="W961" s="23" t="str">
        <f t="shared" si="44"/>
        <v/>
      </c>
    </row>
    <row r="962" spans="1:23" x14ac:dyDescent="0.35">
      <c r="A962" s="19" t="str">
        <f t="shared" ref="A962:A1000" si="45">IF($B962="","",Prefixo&amp;"-"&amp;TEXT(ROW()-1,"0000"))</f>
        <v/>
      </c>
      <c r="B962" s="20"/>
      <c r="C962" s="20"/>
      <c r="S962" s="21"/>
      <c r="T962" s="21"/>
      <c r="U962" s="21"/>
      <c r="V962" s="22" t="str">
        <f t="shared" ref="V962:V1000" si="46">IF($T962&gt;0,$T962-$U962,"")</f>
        <v/>
      </c>
      <c r="W962" s="23" t="str">
        <f t="shared" ref="W962:W1000" si="47">IF($T962&gt;0,($T962-$U962)/$T962,"")</f>
        <v/>
      </c>
    </row>
    <row r="963" spans="1:23" x14ac:dyDescent="0.35">
      <c r="A963" s="19" t="str">
        <f t="shared" si="45"/>
        <v/>
      </c>
      <c r="B963" s="20"/>
      <c r="C963" s="20"/>
      <c r="S963" s="21"/>
      <c r="T963" s="21"/>
      <c r="U963" s="21"/>
      <c r="V963" s="22" t="str">
        <f t="shared" si="46"/>
        <v/>
      </c>
      <c r="W963" s="23" t="str">
        <f t="shared" si="47"/>
        <v/>
      </c>
    </row>
    <row r="964" spans="1:23" x14ac:dyDescent="0.35">
      <c r="A964" s="19" t="str">
        <f t="shared" si="45"/>
        <v/>
      </c>
      <c r="B964" s="20"/>
      <c r="C964" s="20"/>
      <c r="S964" s="21"/>
      <c r="T964" s="21"/>
      <c r="U964" s="21"/>
      <c r="V964" s="22" t="str">
        <f t="shared" si="46"/>
        <v/>
      </c>
      <c r="W964" s="23" t="str">
        <f t="shared" si="47"/>
        <v/>
      </c>
    </row>
    <row r="965" spans="1:23" x14ac:dyDescent="0.35">
      <c r="A965" s="19" t="str">
        <f t="shared" si="45"/>
        <v/>
      </c>
      <c r="B965" s="20"/>
      <c r="C965" s="20"/>
      <c r="S965" s="21"/>
      <c r="T965" s="21"/>
      <c r="U965" s="21"/>
      <c r="V965" s="22" t="str">
        <f t="shared" si="46"/>
        <v/>
      </c>
      <c r="W965" s="23" t="str">
        <f t="shared" si="47"/>
        <v/>
      </c>
    </row>
    <row r="966" spans="1:23" x14ac:dyDescent="0.35">
      <c r="A966" s="19" t="str">
        <f t="shared" si="45"/>
        <v/>
      </c>
      <c r="B966" s="20"/>
      <c r="C966" s="20"/>
      <c r="S966" s="21"/>
      <c r="T966" s="21"/>
      <c r="U966" s="21"/>
      <c r="V966" s="22" t="str">
        <f t="shared" si="46"/>
        <v/>
      </c>
      <c r="W966" s="23" t="str">
        <f t="shared" si="47"/>
        <v/>
      </c>
    </row>
    <row r="967" spans="1:23" x14ac:dyDescent="0.35">
      <c r="A967" s="19" t="str">
        <f t="shared" si="45"/>
        <v/>
      </c>
      <c r="B967" s="20"/>
      <c r="C967" s="20"/>
      <c r="S967" s="21"/>
      <c r="T967" s="21"/>
      <c r="U967" s="21"/>
      <c r="V967" s="22" t="str">
        <f t="shared" si="46"/>
        <v/>
      </c>
      <c r="W967" s="23" t="str">
        <f t="shared" si="47"/>
        <v/>
      </c>
    </row>
    <row r="968" spans="1:23" x14ac:dyDescent="0.35">
      <c r="A968" s="19" t="str">
        <f t="shared" si="45"/>
        <v/>
      </c>
      <c r="B968" s="20"/>
      <c r="C968" s="20"/>
      <c r="S968" s="21"/>
      <c r="T968" s="21"/>
      <c r="U968" s="21"/>
      <c r="V968" s="22" t="str">
        <f t="shared" si="46"/>
        <v/>
      </c>
      <c r="W968" s="23" t="str">
        <f t="shared" si="47"/>
        <v/>
      </c>
    </row>
    <row r="969" spans="1:23" x14ac:dyDescent="0.35">
      <c r="A969" s="19" t="str">
        <f t="shared" si="45"/>
        <v/>
      </c>
      <c r="B969" s="20"/>
      <c r="C969" s="20"/>
      <c r="S969" s="21"/>
      <c r="T969" s="21"/>
      <c r="U969" s="21"/>
      <c r="V969" s="22" t="str">
        <f t="shared" si="46"/>
        <v/>
      </c>
      <c r="W969" s="23" t="str">
        <f t="shared" si="47"/>
        <v/>
      </c>
    </row>
    <row r="970" spans="1:23" x14ac:dyDescent="0.35">
      <c r="A970" s="19" t="str">
        <f t="shared" si="45"/>
        <v/>
      </c>
      <c r="B970" s="20"/>
      <c r="C970" s="20"/>
      <c r="S970" s="21"/>
      <c r="T970" s="21"/>
      <c r="U970" s="21"/>
      <c r="V970" s="22" t="str">
        <f t="shared" si="46"/>
        <v/>
      </c>
      <c r="W970" s="23" t="str">
        <f t="shared" si="47"/>
        <v/>
      </c>
    </row>
    <row r="971" spans="1:23" x14ac:dyDescent="0.35">
      <c r="A971" s="19" t="str">
        <f t="shared" si="45"/>
        <v/>
      </c>
      <c r="B971" s="20"/>
      <c r="C971" s="20"/>
      <c r="S971" s="21"/>
      <c r="T971" s="21"/>
      <c r="U971" s="21"/>
      <c r="V971" s="22" t="str">
        <f t="shared" si="46"/>
        <v/>
      </c>
      <c r="W971" s="23" t="str">
        <f t="shared" si="47"/>
        <v/>
      </c>
    </row>
    <row r="972" spans="1:23" x14ac:dyDescent="0.35">
      <c r="A972" s="19" t="str">
        <f t="shared" si="45"/>
        <v/>
      </c>
      <c r="B972" s="20"/>
      <c r="C972" s="20"/>
      <c r="S972" s="21"/>
      <c r="T972" s="21"/>
      <c r="U972" s="21"/>
      <c r="V972" s="22" t="str">
        <f t="shared" si="46"/>
        <v/>
      </c>
      <c r="W972" s="23" t="str">
        <f t="shared" si="47"/>
        <v/>
      </c>
    </row>
    <row r="973" spans="1:23" x14ac:dyDescent="0.35">
      <c r="A973" s="19" t="str">
        <f t="shared" si="45"/>
        <v/>
      </c>
      <c r="B973" s="20"/>
      <c r="C973" s="20"/>
      <c r="S973" s="21"/>
      <c r="T973" s="21"/>
      <c r="U973" s="21"/>
      <c r="V973" s="22" t="str">
        <f t="shared" si="46"/>
        <v/>
      </c>
      <c r="W973" s="23" t="str">
        <f t="shared" si="47"/>
        <v/>
      </c>
    </row>
    <row r="974" spans="1:23" x14ac:dyDescent="0.35">
      <c r="A974" s="19" t="str">
        <f t="shared" si="45"/>
        <v/>
      </c>
      <c r="B974" s="20"/>
      <c r="C974" s="20"/>
      <c r="S974" s="21"/>
      <c r="T974" s="21"/>
      <c r="U974" s="21"/>
      <c r="V974" s="22" t="str">
        <f t="shared" si="46"/>
        <v/>
      </c>
      <c r="W974" s="23" t="str">
        <f t="shared" si="47"/>
        <v/>
      </c>
    </row>
    <row r="975" spans="1:23" x14ac:dyDescent="0.35">
      <c r="A975" s="19" t="str">
        <f t="shared" si="45"/>
        <v/>
      </c>
      <c r="B975" s="20"/>
      <c r="C975" s="20"/>
      <c r="S975" s="21"/>
      <c r="T975" s="21"/>
      <c r="U975" s="21"/>
      <c r="V975" s="22" t="str">
        <f t="shared" si="46"/>
        <v/>
      </c>
      <c r="W975" s="23" t="str">
        <f t="shared" si="47"/>
        <v/>
      </c>
    </row>
    <row r="976" spans="1:23" x14ac:dyDescent="0.35">
      <c r="A976" s="19" t="str">
        <f t="shared" si="45"/>
        <v/>
      </c>
      <c r="B976" s="20"/>
      <c r="C976" s="20"/>
      <c r="S976" s="21"/>
      <c r="T976" s="21"/>
      <c r="U976" s="21"/>
      <c r="V976" s="22" t="str">
        <f t="shared" si="46"/>
        <v/>
      </c>
      <c r="W976" s="23" t="str">
        <f t="shared" si="47"/>
        <v/>
      </c>
    </row>
    <row r="977" spans="1:23" x14ac:dyDescent="0.35">
      <c r="A977" s="19" t="str">
        <f t="shared" si="45"/>
        <v/>
      </c>
      <c r="B977" s="20"/>
      <c r="C977" s="20"/>
      <c r="S977" s="21"/>
      <c r="T977" s="21"/>
      <c r="U977" s="21"/>
      <c r="V977" s="22" t="str">
        <f t="shared" si="46"/>
        <v/>
      </c>
      <c r="W977" s="23" t="str">
        <f t="shared" si="47"/>
        <v/>
      </c>
    </row>
    <row r="978" spans="1:23" x14ac:dyDescent="0.35">
      <c r="A978" s="19" t="str">
        <f t="shared" si="45"/>
        <v/>
      </c>
      <c r="B978" s="20"/>
      <c r="C978" s="20"/>
      <c r="S978" s="21"/>
      <c r="T978" s="21"/>
      <c r="U978" s="21"/>
      <c r="V978" s="22" t="str">
        <f t="shared" si="46"/>
        <v/>
      </c>
      <c r="W978" s="23" t="str">
        <f t="shared" si="47"/>
        <v/>
      </c>
    </row>
    <row r="979" spans="1:23" x14ac:dyDescent="0.35">
      <c r="A979" s="19" t="str">
        <f t="shared" si="45"/>
        <v/>
      </c>
      <c r="B979" s="20"/>
      <c r="C979" s="20"/>
      <c r="S979" s="21"/>
      <c r="T979" s="21"/>
      <c r="U979" s="21"/>
      <c r="V979" s="22" t="str">
        <f t="shared" si="46"/>
        <v/>
      </c>
      <c r="W979" s="23" t="str">
        <f t="shared" si="47"/>
        <v/>
      </c>
    </row>
    <row r="980" spans="1:23" x14ac:dyDescent="0.35">
      <c r="A980" s="19" t="str">
        <f t="shared" si="45"/>
        <v/>
      </c>
      <c r="B980" s="20"/>
      <c r="C980" s="20"/>
      <c r="S980" s="21"/>
      <c r="T980" s="21"/>
      <c r="U980" s="21"/>
      <c r="V980" s="22" t="str">
        <f t="shared" si="46"/>
        <v/>
      </c>
      <c r="W980" s="23" t="str">
        <f t="shared" si="47"/>
        <v/>
      </c>
    </row>
    <row r="981" spans="1:23" x14ac:dyDescent="0.35">
      <c r="A981" s="19" t="str">
        <f t="shared" si="45"/>
        <v/>
      </c>
      <c r="B981" s="20"/>
      <c r="C981" s="20"/>
      <c r="S981" s="21"/>
      <c r="T981" s="21"/>
      <c r="U981" s="21"/>
      <c r="V981" s="22" t="str">
        <f t="shared" si="46"/>
        <v/>
      </c>
      <c r="W981" s="23" t="str">
        <f t="shared" si="47"/>
        <v/>
      </c>
    </row>
    <row r="982" spans="1:23" x14ac:dyDescent="0.35">
      <c r="A982" s="19" t="str">
        <f t="shared" si="45"/>
        <v/>
      </c>
      <c r="B982" s="20"/>
      <c r="C982" s="20"/>
      <c r="S982" s="21"/>
      <c r="T982" s="21"/>
      <c r="U982" s="21"/>
      <c r="V982" s="22" t="str">
        <f t="shared" si="46"/>
        <v/>
      </c>
      <c r="W982" s="23" t="str">
        <f t="shared" si="47"/>
        <v/>
      </c>
    </row>
    <row r="983" spans="1:23" x14ac:dyDescent="0.35">
      <c r="A983" s="19" t="str">
        <f t="shared" si="45"/>
        <v/>
      </c>
      <c r="B983" s="20"/>
      <c r="C983" s="20"/>
      <c r="S983" s="21"/>
      <c r="T983" s="21"/>
      <c r="U983" s="21"/>
      <c r="V983" s="22" t="str">
        <f t="shared" si="46"/>
        <v/>
      </c>
      <c r="W983" s="23" t="str">
        <f t="shared" si="47"/>
        <v/>
      </c>
    </row>
    <row r="984" spans="1:23" x14ac:dyDescent="0.35">
      <c r="A984" s="19" t="str">
        <f t="shared" si="45"/>
        <v/>
      </c>
      <c r="B984" s="20"/>
      <c r="C984" s="20"/>
      <c r="S984" s="21"/>
      <c r="T984" s="21"/>
      <c r="U984" s="21"/>
      <c r="V984" s="22" t="str">
        <f t="shared" si="46"/>
        <v/>
      </c>
      <c r="W984" s="23" t="str">
        <f t="shared" si="47"/>
        <v/>
      </c>
    </row>
    <row r="985" spans="1:23" x14ac:dyDescent="0.35">
      <c r="A985" s="19" t="str">
        <f t="shared" si="45"/>
        <v/>
      </c>
      <c r="B985" s="20"/>
      <c r="C985" s="20"/>
      <c r="S985" s="21"/>
      <c r="T985" s="21"/>
      <c r="U985" s="21"/>
      <c r="V985" s="22" t="str">
        <f t="shared" si="46"/>
        <v/>
      </c>
      <c r="W985" s="23" t="str">
        <f t="shared" si="47"/>
        <v/>
      </c>
    </row>
    <row r="986" spans="1:23" x14ac:dyDescent="0.35">
      <c r="A986" s="19" t="str">
        <f t="shared" si="45"/>
        <v/>
      </c>
      <c r="B986" s="20"/>
      <c r="C986" s="20"/>
      <c r="S986" s="21"/>
      <c r="T986" s="21"/>
      <c r="U986" s="21"/>
      <c r="V986" s="22" t="str">
        <f t="shared" si="46"/>
        <v/>
      </c>
      <c r="W986" s="23" t="str">
        <f t="shared" si="47"/>
        <v/>
      </c>
    </row>
    <row r="987" spans="1:23" x14ac:dyDescent="0.35">
      <c r="A987" s="19" t="str">
        <f t="shared" si="45"/>
        <v/>
      </c>
      <c r="B987" s="20"/>
      <c r="C987" s="20"/>
      <c r="S987" s="21"/>
      <c r="T987" s="21"/>
      <c r="U987" s="21"/>
      <c r="V987" s="22" t="str">
        <f t="shared" si="46"/>
        <v/>
      </c>
      <c r="W987" s="23" t="str">
        <f t="shared" si="47"/>
        <v/>
      </c>
    </row>
    <row r="988" spans="1:23" x14ac:dyDescent="0.35">
      <c r="A988" s="19" t="str">
        <f t="shared" si="45"/>
        <v/>
      </c>
      <c r="B988" s="20"/>
      <c r="C988" s="20"/>
      <c r="S988" s="21"/>
      <c r="T988" s="21"/>
      <c r="U988" s="21"/>
      <c r="V988" s="22" t="str">
        <f t="shared" si="46"/>
        <v/>
      </c>
      <c r="W988" s="23" t="str">
        <f t="shared" si="47"/>
        <v/>
      </c>
    </row>
    <row r="989" spans="1:23" x14ac:dyDescent="0.35">
      <c r="A989" s="19" t="str">
        <f t="shared" si="45"/>
        <v/>
      </c>
      <c r="B989" s="20"/>
      <c r="C989" s="20"/>
      <c r="S989" s="21"/>
      <c r="T989" s="21"/>
      <c r="U989" s="21"/>
      <c r="V989" s="22" t="str">
        <f t="shared" si="46"/>
        <v/>
      </c>
      <c r="W989" s="23" t="str">
        <f t="shared" si="47"/>
        <v/>
      </c>
    </row>
    <row r="990" spans="1:23" x14ac:dyDescent="0.35">
      <c r="A990" s="19" t="str">
        <f t="shared" si="45"/>
        <v/>
      </c>
      <c r="B990" s="20"/>
      <c r="C990" s="20"/>
      <c r="S990" s="21"/>
      <c r="T990" s="21"/>
      <c r="U990" s="21"/>
      <c r="V990" s="22" t="str">
        <f t="shared" si="46"/>
        <v/>
      </c>
      <c r="W990" s="23" t="str">
        <f t="shared" si="47"/>
        <v/>
      </c>
    </row>
    <row r="991" spans="1:23" x14ac:dyDescent="0.35">
      <c r="A991" s="19" t="str">
        <f t="shared" si="45"/>
        <v/>
      </c>
      <c r="B991" s="20"/>
      <c r="C991" s="20"/>
      <c r="S991" s="21"/>
      <c r="T991" s="21"/>
      <c r="U991" s="21"/>
      <c r="V991" s="22" t="str">
        <f t="shared" si="46"/>
        <v/>
      </c>
      <c r="W991" s="23" t="str">
        <f t="shared" si="47"/>
        <v/>
      </c>
    </row>
    <row r="992" spans="1:23" x14ac:dyDescent="0.35">
      <c r="A992" s="19" t="str">
        <f t="shared" si="45"/>
        <v/>
      </c>
      <c r="B992" s="20"/>
      <c r="C992" s="20"/>
      <c r="S992" s="21"/>
      <c r="T992" s="21"/>
      <c r="U992" s="21"/>
      <c r="V992" s="22" t="str">
        <f t="shared" si="46"/>
        <v/>
      </c>
      <c r="W992" s="23" t="str">
        <f t="shared" si="47"/>
        <v/>
      </c>
    </row>
    <row r="993" spans="1:23" x14ac:dyDescent="0.35">
      <c r="A993" s="19" t="str">
        <f t="shared" si="45"/>
        <v/>
      </c>
      <c r="B993" s="20"/>
      <c r="C993" s="20"/>
      <c r="S993" s="21"/>
      <c r="T993" s="21"/>
      <c r="U993" s="21"/>
      <c r="V993" s="22" t="str">
        <f t="shared" si="46"/>
        <v/>
      </c>
      <c r="W993" s="23" t="str">
        <f t="shared" si="47"/>
        <v/>
      </c>
    </row>
    <row r="994" spans="1:23" x14ac:dyDescent="0.35">
      <c r="A994" s="19" t="str">
        <f t="shared" si="45"/>
        <v/>
      </c>
      <c r="B994" s="20"/>
      <c r="C994" s="20"/>
      <c r="S994" s="21"/>
      <c r="T994" s="21"/>
      <c r="U994" s="21"/>
      <c r="V994" s="22" t="str">
        <f t="shared" si="46"/>
        <v/>
      </c>
      <c r="W994" s="23" t="str">
        <f t="shared" si="47"/>
        <v/>
      </c>
    </row>
    <row r="995" spans="1:23" x14ac:dyDescent="0.35">
      <c r="A995" s="19" t="str">
        <f t="shared" si="45"/>
        <v/>
      </c>
      <c r="B995" s="20"/>
      <c r="C995" s="20"/>
      <c r="S995" s="21"/>
      <c r="T995" s="21"/>
      <c r="U995" s="21"/>
      <c r="V995" s="22" t="str">
        <f t="shared" si="46"/>
        <v/>
      </c>
      <c r="W995" s="23" t="str">
        <f t="shared" si="47"/>
        <v/>
      </c>
    </row>
    <row r="996" spans="1:23" x14ac:dyDescent="0.35">
      <c r="A996" s="19" t="str">
        <f t="shared" si="45"/>
        <v/>
      </c>
      <c r="B996" s="20"/>
      <c r="C996" s="20"/>
      <c r="S996" s="21"/>
      <c r="T996" s="21"/>
      <c r="U996" s="21"/>
      <c r="V996" s="22" t="str">
        <f t="shared" si="46"/>
        <v/>
      </c>
      <c r="W996" s="23" t="str">
        <f t="shared" si="47"/>
        <v/>
      </c>
    </row>
    <row r="997" spans="1:23" x14ac:dyDescent="0.35">
      <c r="A997" s="19" t="str">
        <f t="shared" si="45"/>
        <v/>
      </c>
      <c r="B997" s="20"/>
      <c r="C997" s="20"/>
      <c r="S997" s="21"/>
      <c r="T997" s="21"/>
      <c r="U997" s="21"/>
      <c r="V997" s="22" t="str">
        <f t="shared" si="46"/>
        <v/>
      </c>
      <c r="W997" s="23" t="str">
        <f t="shared" si="47"/>
        <v/>
      </c>
    </row>
    <row r="998" spans="1:23" x14ac:dyDescent="0.35">
      <c r="A998" s="19" t="str">
        <f t="shared" si="45"/>
        <v/>
      </c>
      <c r="B998" s="20"/>
      <c r="C998" s="20"/>
      <c r="S998" s="21"/>
      <c r="T998" s="21"/>
      <c r="U998" s="21"/>
      <c r="V998" s="22" t="str">
        <f t="shared" si="46"/>
        <v/>
      </c>
      <c r="W998" s="23" t="str">
        <f t="shared" si="47"/>
        <v/>
      </c>
    </row>
    <row r="999" spans="1:23" x14ac:dyDescent="0.35">
      <c r="A999" s="19" t="str">
        <f t="shared" si="45"/>
        <v/>
      </c>
      <c r="B999" s="20"/>
      <c r="C999" s="20"/>
      <c r="S999" s="21"/>
      <c r="T999" s="21"/>
      <c r="U999" s="21"/>
      <c r="V999" s="22" t="str">
        <f t="shared" si="46"/>
        <v/>
      </c>
      <c r="W999" s="23" t="str">
        <f t="shared" si="47"/>
        <v/>
      </c>
    </row>
    <row r="1000" spans="1:23" x14ac:dyDescent="0.35">
      <c r="A1000" s="19" t="str">
        <f t="shared" si="45"/>
        <v/>
      </c>
      <c r="B1000" s="20"/>
      <c r="C1000" s="20"/>
      <c r="S1000" s="21"/>
      <c r="T1000" s="21"/>
      <c r="U1000" s="21"/>
      <c r="V1000" s="22" t="str">
        <f t="shared" si="46"/>
        <v/>
      </c>
      <c r="W1000" s="23" t="str">
        <f t="shared" si="47"/>
        <v/>
      </c>
    </row>
  </sheetData>
  <autoFilter ref="A1:Z1000" xr:uid="{00000000-0009-0000-0000-000001000000}"/>
  <conditionalFormatting sqref="R2:R1000">
    <cfRule type="cellIs" dxfId="10" priority="2" operator="equal">
      <formula>"Concluído"</formula>
    </cfRule>
    <cfRule type="cellIs" dxfId="9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D2:D1000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E2:E1000" xr:uid="{00000000-0002-0000-0100-000001000000}">
      <formula1>Projetos</formula1>
      <formula2>0</formula2>
    </dataValidation>
    <dataValidation type="list" allowBlank="1" showErrorMessage="1" errorTitle="Valor inválido" error="Selecione um valor da lista." sqref="F2:F1000" xr:uid="{00000000-0002-0000-0100-000002000000}">
      <formula1>INDIRECT(VLOOKUP($E2,MapaTemas,2,0))</formula1>
      <formula2>0</formula2>
    </dataValidation>
    <dataValidation type="list" allowBlank="1" showErrorMessage="1" errorTitle="Valor inválido" error="Selecione um valor da lista." sqref="G2:G1000" xr:uid="{00000000-0002-0000-0100-000003000000}">
      <formula1>Pilares</formula1>
      <formula2>0</formula2>
    </dataValidation>
    <dataValidation type="list" allowBlank="1" showErrorMessage="1" errorTitle="Valor inválido" error="Selecione um valor da lista." sqref="H2:H1000" xr:uid="{00000000-0002-0000-0100-000004000000}">
      <formula1>INDIRECT(VLOOKUP($G2,MapaEnt,2,0))</formula1>
      <formula2>0</formula2>
    </dataValidation>
    <dataValidation type="list" allowBlank="1" showErrorMessage="1" errorTitle="Valor inválido" error="Selecione um valor da lista." sqref="K2:K1000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L2:L1000" xr:uid="{00000000-0002-0000-0100-000006000000}">
      <formula1>INDIRECT(VLOOKUP($K2,MapaPessoas,2,0))</formula1>
      <formula2>0</formula2>
    </dataValidation>
    <dataValidation type="list" allowBlank="1" showErrorMessage="1" errorTitle="Valor inválido" error="Selecione um valor da lista." sqref="M2:M1000" xr:uid="{00000000-0002-0000-0100-000007000000}">
      <formula1>SimNao</formula1>
      <formula2>0</formula2>
    </dataValidation>
    <dataValidation type="list" allowBlank="1" showErrorMessage="1" errorTitle="Valor inválido" error="Selecione um valor da lista." sqref="N2:N1000" xr:uid="{00000000-0002-0000-0100-000008000000}">
      <formula1>Papeis</formula1>
      <formula2>0</formula2>
    </dataValidation>
    <dataValidation type="list" allowBlank="1" errorTitle="Valor inválido" error="Selecione um valor da lista." sqref="O2:O1000" xr:uid="{00000000-0002-0000-0100-000009000000}">
      <formula1>EquipePI</formula1>
      <formula2>0</formula2>
    </dataValidation>
    <dataValidation type="list" allowBlank="1" showErrorMessage="1" errorTitle="Valor inválido" error="Selecione um valor da lista." sqref="Q2:Q1000" xr:uid="{00000000-0002-0000-0100-00000A000000}">
      <formula1>Empresas</formula1>
      <formula2>0</formula2>
    </dataValidation>
    <dataValidation type="list" allowBlank="1" showErrorMessage="1" errorTitle="Valor inválido" error="Selecione um valor da lista." sqref="R2:R1000" xr:uid="{00000000-0002-0000-0100-00000B000000}">
      <formula1>StatusList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9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6" width="15" customWidth="1"/>
    <col min="7" max="7" width="30" customWidth="1"/>
    <col min="8" max="8" width="24" customWidth="1"/>
    <col min="9" max="10" width="15" customWidth="1"/>
    <col min="11" max="11" width="12" customWidth="1"/>
    <col min="12" max="13" width="11" customWidth="1"/>
    <col min="15" max="15" width="5" customWidth="1"/>
  </cols>
  <sheetData>
    <row r="1" spans="1:11" ht="27.75" customHeight="1" x14ac:dyDescent="0.35">
      <c r="A1" s="14" t="s">
        <v>82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5">
      <c r="A2" s="13" t="s">
        <v>83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19.5" customHeight="1" x14ac:dyDescent="0.35">
      <c r="A4" s="12" t="s">
        <v>84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35">
      <c r="A5" s="15" t="s">
        <v>85</v>
      </c>
      <c r="B5" s="8"/>
      <c r="C5" s="8"/>
      <c r="D5" s="8"/>
    </row>
    <row r="6" spans="1:11" x14ac:dyDescent="0.35">
      <c r="A6" s="15" t="s">
        <v>86</v>
      </c>
      <c r="B6" s="24"/>
      <c r="C6" s="19" t="s">
        <v>87</v>
      </c>
      <c r="D6" s="24"/>
    </row>
    <row r="7" spans="1:11" x14ac:dyDescent="0.35">
      <c r="A7" s="15" t="s">
        <v>88</v>
      </c>
      <c r="B7" s="9" t="s">
        <v>20</v>
      </c>
      <c r="C7" s="9"/>
      <c r="D7" s="9"/>
    </row>
    <row r="8" spans="1:11" x14ac:dyDescent="0.35">
      <c r="A8" s="15" t="s">
        <v>89</v>
      </c>
      <c r="B8" s="9" t="s">
        <v>27</v>
      </c>
      <c r="C8" s="9"/>
      <c r="D8" s="9"/>
    </row>
    <row r="9" spans="1:11" x14ac:dyDescent="0.35">
      <c r="A9" s="15" t="s">
        <v>24</v>
      </c>
      <c r="B9" s="9" t="s">
        <v>25</v>
      </c>
      <c r="C9" s="9"/>
      <c r="D9" s="9"/>
    </row>
    <row r="10" spans="1:11" x14ac:dyDescent="0.35">
      <c r="A10" s="15" t="s">
        <v>90</v>
      </c>
      <c r="B10" s="24"/>
    </row>
    <row r="12" spans="1:11" ht="19.5" customHeight="1" x14ac:dyDescent="0.35">
      <c r="A12" s="12" t="s">
        <v>91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25.5" customHeight="1" x14ac:dyDescent="0.35">
      <c r="A13" s="7" t="s">
        <v>92</v>
      </c>
      <c r="B13" s="7"/>
      <c r="C13" s="6"/>
      <c r="D13" s="6"/>
      <c r="E13" s="6"/>
      <c r="F13" s="6"/>
      <c r="G13" s="6"/>
      <c r="H13" s="6"/>
      <c r="I13" s="6"/>
      <c r="J13" s="6"/>
      <c r="K13" s="6"/>
    </row>
    <row r="14" spans="1:11" ht="25.5" customHeight="1" x14ac:dyDescent="0.35">
      <c r="A14" s="7" t="s">
        <v>93</v>
      </c>
      <c r="B14" s="7"/>
      <c r="C14" s="6"/>
      <c r="D14" s="6"/>
      <c r="E14" s="6"/>
      <c r="F14" s="6"/>
      <c r="G14" s="6"/>
      <c r="H14" s="6"/>
      <c r="I14" s="6"/>
      <c r="J14" s="6"/>
      <c r="K14" s="6"/>
    </row>
    <row r="15" spans="1:11" ht="25.5" customHeight="1" x14ac:dyDescent="0.35">
      <c r="A15" s="7" t="s">
        <v>94</v>
      </c>
      <c r="B15" s="7"/>
      <c r="C15" s="6"/>
      <c r="D15" s="6"/>
      <c r="E15" s="6"/>
      <c r="F15" s="6"/>
      <c r="G15" s="6"/>
      <c r="H15" s="6"/>
      <c r="I15" s="6"/>
      <c r="J15" s="6"/>
      <c r="K15" s="6"/>
    </row>
    <row r="16" spans="1:11" ht="25.5" customHeight="1" x14ac:dyDescent="0.35">
      <c r="A16" s="7" t="s">
        <v>95</v>
      </c>
      <c r="B16" s="7"/>
      <c r="C16" s="6"/>
      <c r="D16" s="6"/>
      <c r="E16" s="6"/>
      <c r="F16" s="6"/>
      <c r="G16" s="6"/>
      <c r="H16" s="6"/>
      <c r="I16" s="6"/>
      <c r="J16" s="6"/>
      <c r="K16" s="6"/>
    </row>
    <row r="17" spans="1:15" ht="25.5" customHeight="1" x14ac:dyDescent="0.35">
      <c r="A17" s="7" t="s">
        <v>96</v>
      </c>
      <c r="B17" s="7"/>
      <c r="C17" s="6"/>
      <c r="D17" s="6"/>
      <c r="E17" s="6"/>
      <c r="F17" s="6"/>
      <c r="G17" s="6"/>
      <c r="H17" s="6"/>
      <c r="I17" s="6"/>
      <c r="J17" s="6"/>
      <c r="K17" s="6"/>
    </row>
    <row r="18" spans="1:15" ht="25.5" customHeight="1" x14ac:dyDescent="0.35">
      <c r="A18" s="7" t="s">
        <v>97</v>
      </c>
      <c r="B18" s="7"/>
      <c r="C18" s="6"/>
      <c r="D18" s="6"/>
      <c r="E18" s="6"/>
      <c r="F18" s="6"/>
      <c r="G18" s="6"/>
      <c r="H18" s="6"/>
      <c r="I18" s="6"/>
      <c r="J18" s="6"/>
      <c r="K18" s="6"/>
    </row>
    <row r="20" spans="1:15" ht="19.5" customHeight="1" x14ac:dyDescent="0.35">
      <c r="A20" s="12" t="s">
        <v>98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5" ht="30" customHeight="1" x14ac:dyDescent="0.35">
      <c r="A21" s="18" t="s">
        <v>99</v>
      </c>
      <c r="B21" s="18" t="s">
        <v>32</v>
      </c>
      <c r="C21" s="18" t="s">
        <v>33</v>
      </c>
      <c r="D21" s="18" t="s">
        <v>100</v>
      </c>
      <c r="E21" s="18" t="s">
        <v>101</v>
      </c>
      <c r="F21" s="18" t="s">
        <v>102</v>
      </c>
      <c r="G21" s="18" t="s">
        <v>103</v>
      </c>
      <c r="H21" s="5" t="s">
        <v>52</v>
      </c>
      <c r="I21" s="5"/>
      <c r="J21" s="5"/>
      <c r="K21" s="5"/>
    </row>
    <row r="22" spans="1:15" x14ac:dyDescent="0.35">
      <c r="A22" s="25" t="str">
        <f>IF($O22="","",INDEX(Lançamentos!$A:$A,$O22))</f>
        <v/>
      </c>
      <c r="B22" s="25" t="str">
        <f>IF($O22="","",INDEX(Lançamentos!$E:$E,$O22))</f>
        <v/>
      </c>
      <c r="C22" s="25" t="str">
        <f>IF($O22="","",INDEX(Lançamentos!$F:$F,$O22))</f>
        <v/>
      </c>
      <c r="D22" s="25" t="str">
        <f>IF($O22="","",INDEX(Lançamentos!$I:$I,$O22))</f>
        <v/>
      </c>
      <c r="E22" s="25" t="str">
        <f>IF($O22="","",INDEX(Lançamentos!$R:$R,$O22))</f>
        <v/>
      </c>
      <c r="F22" s="25" t="str">
        <f t="shared" ref="F22:F41" si="0">IF($O22="","",IF($E22="Em andamento","🟡 Em andamento",IF($E22="Aguardando terceiros","⏸ Aguardando Terceiros",IF($E22="Não iniciado","⚪ Não iniciado","🟡 Em andamento"))))</f>
        <v/>
      </c>
      <c r="G22" s="26" t="str">
        <f ca="1">IF($O22="","",TODAY()-INDEX(Lançamentos!$B:$B,$O22))</f>
        <v/>
      </c>
      <c r="H22" s="4" t="str">
        <f>IF($O22="","",INDEX(Lançamentos!$Y:$Y,$O22))</f>
        <v/>
      </c>
      <c r="I22" s="4"/>
      <c r="J22" s="4"/>
      <c r="K22" s="4"/>
      <c r="O22" s="17" t="str">
        <f>IFERROR(_xlfn.AGGREGATE(15,6,ROW(Lançamentos!$I$2:$I$1000)/((Lançamentos!$R$2:$R$1000&lt;&gt;"Concluído")*(Lançamentos!$R$2:$R$1000&lt;&gt;"Cancelado")*(Lançamentos!$I$2:$I$1000&lt;&gt;"")),1),"")</f>
        <v/>
      </c>
    </row>
    <row r="23" spans="1:15" x14ac:dyDescent="0.35">
      <c r="A23" s="25" t="str">
        <f>IF($O23="","",INDEX(Lançamentos!$A:$A,$O23))</f>
        <v/>
      </c>
      <c r="B23" s="25" t="str">
        <f>IF($O23="","",INDEX(Lançamentos!$E:$E,$O23))</f>
        <v/>
      </c>
      <c r="C23" s="25" t="str">
        <f>IF($O23="","",INDEX(Lançamentos!$F:$F,$O23))</f>
        <v/>
      </c>
      <c r="D23" s="25" t="str">
        <f>IF($O23="","",INDEX(Lançamentos!$I:$I,$O23))</f>
        <v/>
      </c>
      <c r="E23" s="25" t="str">
        <f>IF($O23="","",INDEX(Lançamentos!$R:$R,$O23))</f>
        <v/>
      </c>
      <c r="F23" s="25" t="str">
        <f t="shared" si="0"/>
        <v/>
      </c>
      <c r="G23" s="26" t="str">
        <f ca="1">IF($O23="","",TODAY()-INDEX(Lançamentos!$B:$B,$O23))</f>
        <v/>
      </c>
      <c r="H23" s="4" t="str">
        <f>IF($O23="","",INDEX(Lançamentos!$Y:$Y,$O23))</f>
        <v/>
      </c>
      <c r="I23" s="4"/>
      <c r="J23" s="4"/>
      <c r="K23" s="4"/>
      <c r="O23" s="17" t="str">
        <f>IFERROR(_xlfn.AGGREGATE(15,6,ROW(Lançamentos!$I$2:$I$1000)/((Lançamentos!$R$2:$R$1000&lt;&gt;"Concluído")*(Lançamentos!$R$2:$R$1000&lt;&gt;"Cancelado")*(Lançamentos!$I$2:$I$1000&lt;&gt;"")),2),"")</f>
        <v/>
      </c>
    </row>
    <row r="24" spans="1:15" x14ac:dyDescent="0.35">
      <c r="A24" s="25" t="str">
        <f>IF($O24="","",INDEX(Lançamentos!$A:$A,$O24))</f>
        <v/>
      </c>
      <c r="B24" s="25" t="str">
        <f>IF($O24="","",INDEX(Lançamentos!$E:$E,$O24))</f>
        <v/>
      </c>
      <c r="C24" s="25" t="str">
        <f>IF($O24="","",INDEX(Lançamentos!$F:$F,$O24))</f>
        <v/>
      </c>
      <c r="D24" s="25" t="str">
        <f>IF($O24="","",INDEX(Lançamentos!$I:$I,$O24))</f>
        <v/>
      </c>
      <c r="E24" s="25" t="str">
        <f>IF($O24="","",INDEX(Lançamentos!$R:$R,$O24))</f>
        <v/>
      </c>
      <c r="F24" s="25" t="str">
        <f t="shared" si="0"/>
        <v/>
      </c>
      <c r="G24" s="26" t="str">
        <f ca="1">IF($O24="","",TODAY()-INDEX(Lançamentos!$B:$B,$O24))</f>
        <v/>
      </c>
      <c r="H24" s="4" t="str">
        <f>IF($O24="","",INDEX(Lançamentos!$Y:$Y,$O24))</f>
        <v/>
      </c>
      <c r="I24" s="4"/>
      <c r="J24" s="4"/>
      <c r="K24" s="4"/>
      <c r="O24" s="17" t="str">
        <f>IFERROR(_xlfn.AGGREGATE(15,6,ROW(Lançamentos!$I$2:$I$1000)/((Lançamentos!$R$2:$R$1000&lt;&gt;"Concluído")*(Lançamentos!$R$2:$R$1000&lt;&gt;"Cancelado")*(Lançamentos!$I$2:$I$1000&lt;&gt;"")),3),"")</f>
        <v/>
      </c>
    </row>
    <row r="25" spans="1:15" x14ac:dyDescent="0.35">
      <c r="A25" s="25" t="str">
        <f>IF($O25="","",INDEX(Lançamentos!$A:$A,$O25))</f>
        <v/>
      </c>
      <c r="B25" s="25" t="str">
        <f>IF($O25="","",INDEX(Lançamentos!$E:$E,$O25))</f>
        <v/>
      </c>
      <c r="C25" s="25" t="str">
        <f>IF($O25="","",INDEX(Lançamentos!$F:$F,$O25))</f>
        <v/>
      </c>
      <c r="D25" s="25" t="str">
        <f>IF($O25="","",INDEX(Lançamentos!$I:$I,$O25))</f>
        <v/>
      </c>
      <c r="E25" s="25" t="str">
        <f>IF($O25="","",INDEX(Lançamentos!$R:$R,$O25))</f>
        <v/>
      </c>
      <c r="F25" s="25" t="str">
        <f t="shared" si="0"/>
        <v/>
      </c>
      <c r="G25" s="26" t="str">
        <f ca="1">IF($O25="","",TODAY()-INDEX(Lançamentos!$B:$B,$O25))</f>
        <v/>
      </c>
      <c r="H25" s="4" t="str">
        <f>IF($O25="","",INDEX(Lançamentos!$Y:$Y,$O25))</f>
        <v/>
      </c>
      <c r="I25" s="4"/>
      <c r="J25" s="4"/>
      <c r="K25" s="4"/>
      <c r="O25" s="17" t="str">
        <f>IFERROR(_xlfn.AGGREGATE(15,6,ROW(Lançamentos!$I$2:$I$1000)/((Lançamentos!$R$2:$R$1000&lt;&gt;"Concluído")*(Lançamentos!$R$2:$R$1000&lt;&gt;"Cancelado")*(Lançamentos!$I$2:$I$1000&lt;&gt;"")),4),"")</f>
        <v/>
      </c>
    </row>
    <row r="26" spans="1:15" x14ac:dyDescent="0.35">
      <c r="A26" s="25" t="str">
        <f>IF($O26="","",INDEX(Lançamentos!$A:$A,$O26))</f>
        <v/>
      </c>
      <c r="B26" s="25" t="str">
        <f>IF($O26="","",INDEX(Lançamentos!$E:$E,$O26))</f>
        <v/>
      </c>
      <c r="C26" s="25" t="str">
        <f>IF($O26="","",INDEX(Lançamentos!$F:$F,$O26))</f>
        <v/>
      </c>
      <c r="D26" s="25" t="str">
        <f>IF($O26="","",INDEX(Lançamentos!$I:$I,$O26))</f>
        <v/>
      </c>
      <c r="E26" s="25" t="str">
        <f>IF($O26="","",INDEX(Lançamentos!$R:$R,$O26))</f>
        <v/>
      </c>
      <c r="F26" s="25" t="str">
        <f t="shared" si="0"/>
        <v/>
      </c>
      <c r="G26" s="26" t="str">
        <f ca="1">IF($O26="","",TODAY()-INDEX(Lançamentos!$B:$B,$O26))</f>
        <v/>
      </c>
      <c r="H26" s="4" t="str">
        <f>IF($O26="","",INDEX(Lançamentos!$Y:$Y,$O26))</f>
        <v/>
      </c>
      <c r="I26" s="4"/>
      <c r="J26" s="4"/>
      <c r="K26" s="4"/>
      <c r="O26" s="17" t="str">
        <f>IFERROR(_xlfn.AGGREGATE(15,6,ROW(Lançamentos!$I$2:$I$1000)/((Lançamentos!$R$2:$R$1000&lt;&gt;"Concluído")*(Lançamentos!$R$2:$R$1000&lt;&gt;"Cancelado")*(Lançamentos!$I$2:$I$1000&lt;&gt;"")),5),"")</f>
        <v/>
      </c>
    </row>
    <row r="27" spans="1:15" x14ac:dyDescent="0.35">
      <c r="A27" s="25" t="str">
        <f>IF($O27="","",INDEX(Lançamentos!$A:$A,$O27))</f>
        <v/>
      </c>
      <c r="B27" s="25" t="str">
        <f>IF($O27="","",INDEX(Lançamentos!$E:$E,$O27))</f>
        <v/>
      </c>
      <c r="C27" s="25" t="str">
        <f>IF($O27="","",INDEX(Lançamentos!$F:$F,$O27))</f>
        <v/>
      </c>
      <c r="D27" s="25" t="str">
        <f>IF($O27="","",INDEX(Lançamentos!$I:$I,$O27))</f>
        <v/>
      </c>
      <c r="E27" s="25" t="str">
        <f>IF($O27="","",INDEX(Lançamentos!$R:$R,$O27))</f>
        <v/>
      </c>
      <c r="F27" s="25" t="str">
        <f t="shared" si="0"/>
        <v/>
      </c>
      <c r="G27" s="26" t="str">
        <f ca="1">IF($O27="","",TODAY()-INDEX(Lançamentos!$B:$B,$O27))</f>
        <v/>
      </c>
      <c r="H27" s="4" t="str">
        <f>IF($O27="","",INDEX(Lançamentos!$Y:$Y,$O27))</f>
        <v/>
      </c>
      <c r="I27" s="4"/>
      <c r="J27" s="4"/>
      <c r="K27" s="4"/>
      <c r="O27" s="17" t="str">
        <f>IFERROR(_xlfn.AGGREGATE(15,6,ROW(Lançamentos!$I$2:$I$1000)/((Lançamentos!$R$2:$R$1000&lt;&gt;"Concluído")*(Lançamentos!$R$2:$R$1000&lt;&gt;"Cancelado")*(Lançamentos!$I$2:$I$1000&lt;&gt;"")),6),"")</f>
        <v/>
      </c>
    </row>
    <row r="28" spans="1:15" x14ac:dyDescent="0.35">
      <c r="A28" s="25" t="str">
        <f>IF($O28="","",INDEX(Lançamentos!$A:$A,$O28))</f>
        <v/>
      </c>
      <c r="B28" s="25" t="str">
        <f>IF($O28="","",INDEX(Lançamentos!$E:$E,$O28))</f>
        <v/>
      </c>
      <c r="C28" s="25" t="str">
        <f>IF($O28="","",INDEX(Lançamentos!$F:$F,$O28))</f>
        <v/>
      </c>
      <c r="D28" s="25" t="str">
        <f>IF($O28="","",INDEX(Lançamentos!$I:$I,$O28))</f>
        <v/>
      </c>
      <c r="E28" s="25" t="str">
        <f>IF($O28="","",INDEX(Lançamentos!$R:$R,$O28))</f>
        <v/>
      </c>
      <c r="F28" s="25" t="str">
        <f t="shared" si="0"/>
        <v/>
      </c>
      <c r="G28" s="26" t="str">
        <f ca="1">IF($O28="","",TODAY()-INDEX(Lançamentos!$B:$B,$O28))</f>
        <v/>
      </c>
      <c r="H28" s="4" t="str">
        <f>IF($O28="","",INDEX(Lançamentos!$Y:$Y,$O28))</f>
        <v/>
      </c>
      <c r="I28" s="4"/>
      <c r="J28" s="4"/>
      <c r="K28" s="4"/>
      <c r="O28" s="17" t="str">
        <f>IFERROR(_xlfn.AGGREGATE(15,6,ROW(Lançamentos!$I$2:$I$1000)/((Lançamentos!$R$2:$R$1000&lt;&gt;"Concluído")*(Lançamentos!$R$2:$R$1000&lt;&gt;"Cancelado")*(Lançamentos!$I$2:$I$1000&lt;&gt;"")),7),"")</f>
        <v/>
      </c>
    </row>
    <row r="29" spans="1:15" x14ac:dyDescent="0.35">
      <c r="A29" s="25" t="str">
        <f>IF($O29="","",INDEX(Lançamentos!$A:$A,$O29))</f>
        <v/>
      </c>
      <c r="B29" s="25" t="str">
        <f>IF($O29="","",INDEX(Lançamentos!$E:$E,$O29))</f>
        <v/>
      </c>
      <c r="C29" s="25" t="str">
        <f>IF($O29="","",INDEX(Lançamentos!$F:$F,$O29))</f>
        <v/>
      </c>
      <c r="D29" s="25" t="str">
        <f>IF($O29="","",INDEX(Lançamentos!$I:$I,$O29))</f>
        <v/>
      </c>
      <c r="E29" s="25" t="str">
        <f>IF($O29="","",INDEX(Lançamentos!$R:$R,$O29))</f>
        <v/>
      </c>
      <c r="F29" s="25" t="str">
        <f t="shared" si="0"/>
        <v/>
      </c>
      <c r="G29" s="26" t="str">
        <f ca="1">IF($O29="","",TODAY()-INDEX(Lançamentos!$B:$B,$O29))</f>
        <v/>
      </c>
      <c r="H29" s="4" t="str">
        <f>IF($O29="","",INDEX(Lançamentos!$Y:$Y,$O29))</f>
        <v/>
      </c>
      <c r="I29" s="4"/>
      <c r="J29" s="4"/>
      <c r="K29" s="4"/>
      <c r="O29" s="17" t="str">
        <f>IFERROR(_xlfn.AGGREGATE(15,6,ROW(Lançamentos!$I$2:$I$1000)/((Lançamentos!$R$2:$R$1000&lt;&gt;"Concluído")*(Lançamentos!$R$2:$R$1000&lt;&gt;"Cancelado")*(Lançamentos!$I$2:$I$1000&lt;&gt;"")),8),"")</f>
        <v/>
      </c>
    </row>
    <row r="30" spans="1:15" x14ac:dyDescent="0.35">
      <c r="A30" s="25" t="str">
        <f>IF($O30="","",INDEX(Lançamentos!$A:$A,$O30))</f>
        <v/>
      </c>
      <c r="B30" s="25" t="str">
        <f>IF($O30="","",INDEX(Lançamentos!$E:$E,$O30))</f>
        <v/>
      </c>
      <c r="C30" s="25" t="str">
        <f>IF($O30="","",INDEX(Lançamentos!$F:$F,$O30))</f>
        <v/>
      </c>
      <c r="D30" s="25" t="str">
        <f>IF($O30="","",INDEX(Lançamentos!$I:$I,$O30))</f>
        <v/>
      </c>
      <c r="E30" s="25" t="str">
        <f>IF($O30="","",INDEX(Lançamentos!$R:$R,$O30))</f>
        <v/>
      </c>
      <c r="F30" s="25" t="str">
        <f t="shared" si="0"/>
        <v/>
      </c>
      <c r="G30" s="26" t="str">
        <f ca="1">IF($O30="","",TODAY()-INDEX(Lançamentos!$B:$B,$O30))</f>
        <v/>
      </c>
      <c r="H30" s="4" t="str">
        <f>IF($O30="","",INDEX(Lançamentos!$Y:$Y,$O30))</f>
        <v/>
      </c>
      <c r="I30" s="4"/>
      <c r="J30" s="4"/>
      <c r="K30" s="4"/>
      <c r="O30" s="17" t="str">
        <f>IFERROR(_xlfn.AGGREGATE(15,6,ROW(Lançamentos!$I$2:$I$1000)/((Lançamentos!$R$2:$R$1000&lt;&gt;"Concluído")*(Lançamentos!$R$2:$R$1000&lt;&gt;"Cancelado")*(Lançamentos!$I$2:$I$1000&lt;&gt;"")),9),"")</f>
        <v/>
      </c>
    </row>
    <row r="31" spans="1:15" x14ac:dyDescent="0.35">
      <c r="A31" s="25" t="str">
        <f>IF($O31="","",INDEX(Lançamentos!$A:$A,$O31))</f>
        <v/>
      </c>
      <c r="B31" s="25" t="str">
        <f>IF($O31="","",INDEX(Lançamentos!$E:$E,$O31))</f>
        <v/>
      </c>
      <c r="C31" s="25" t="str">
        <f>IF($O31="","",INDEX(Lançamentos!$F:$F,$O31))</f>
        <v/>
      </c>
      <c r="D31" s="25" t="str">
        <f>IF($O31="","",INDEX(Lançamentos!$I:$I,$O31))</f>
        <v/>
      </c>
      <c r="E31" s="25" t="str">
        <f>IF($O31="","",INDEX(Lançamentos!$R:$R,$O31))</f>
        <v/>
      </c>
      <c r="F31" s="25" t="str">
        <f t="shared" si="0"/>
        <v/>
      </c>
      <c r="G31" s="26" t="str">
        <f ca="1">IF($O31="","",TODAY()-INDEX(Lançamentos!$B:$B,$O31))</f>
        <v/>
      </c>
      <c r="H31" s="4" t="str">
        <f>IF($O31="","",INDEX(Lançamentos!$Y:$Y,$O31))</f>
        <v/>
      </c>
      <c r="I31" s="4"/>
      <c r="J31" s="4"/>
      <c r="K31" s="4"/>
      <c r="O31" s="17" t="str">
        <f>IFERROR(_xlfn.AGGREGATE(15,6,ROW(Lançamentos!$I$2:$I$1000)/((Lançamentos!$R$2:$R$1000&lt;&gt;"Concluído")*(Lançamentos!$R$2:$R$1000&lt;&gt;"Cancelado")*(Lançamentos!$I$2:$I$1000&lt;&gt;"")),10),"")</f>
        <v/>
      </c>
    </row>
    <row r="32" spans="1:15" x14ac:dyDescent="0.35">
      <c r="A32" s="25" t="str">
        <f>IF($O32="","",INDEX(Lançamentos!$A:$A,$O32))</f>
        <v/>
      </c>
      <c r="B32" s="25" t="str">
        <f>IF($O32="","",INDEX(Lançamentos!$E:$E,$O32))</f>
        <v/>
      </c>
      <c r="C32" s="25" t="str">
        <f>IF($O32="","",INDEX(Lançamentos!$F:$F,$O32))</f>
        <v/>
      </c>
      <c r="D32" s="25" t="str">
        <f>IF($O32="","",INDEX(Lançamentos!$I:$I,$O32))</f>
        <v/>
      </c>
      <c r="E32" s="25" t="str">
        <f>IF($O32="","",INDEX(Lançamentos!$R:$R,$O32))</f>
        <v/>
      </c>
      <c r="F32" s="25" t="str">
        <f t="shared" si="0"/>
        <v/>
      </c>
      <c r="G32" s="26" t="str">
        <f ca="1">IF($O32="","",TODAY()-INDEX(Lançamentos!$B:$B,$O32))</f>
        <v/>
      </c>
      <c r="H32" s="4" t="str">
        <f>IF($O32="","",INDEX(Lançamentos!$Y:$Y,$O32))</f>
        <v/>
      </c>
      <c r="I32" s="4"/>
      <c r="J32" s="4"/>
      <c r="K32" s="4"/>
      <c r="O32" s="17" t="str">
        <f>IFERROR(_xlfn.AGGREGATE(15,6,ROW(Lançamentos!$I$2:$I$1000)/((Lançamentos!$R$2:$R$1000&lt;&gt;"Concluído")*(Lançamentos!$R$2:$R$1000&lt;&gt;"Cancelado")*(Lançamentos!$I$2:$I$1000&lt;&gt;"")),11),"")</f>
        <v/>
      </c>
    </row>
    <row r="33" spans="1:15" x14ac:dyDescent="0.35">
      <c r="A33" s="25" t="str">
        <f>IF($O33="","",INDEX(Lançamentos!$A:$A,$O33))</f>
        <v/>
      </c>
      <c r="B33" s="25" t="str">
        <f>IF($O33="","",INDEX(Lançamentos!$E:$E,$O33))</f>
        <v/>
      </c>
      <c r="C33" s="25" t="str">
        <f>IF($O33="","",INDEX(Lançamentos!$F:$F,$O33))</f>
        <v/>
      </c>
      <c r="D33" s="25" t="str">
        <f>IF($O33="","",INDEX(Lançamentos!$I:$I,$O33))</f>
        <v/>
      </c>
      <c r="E33" s="25" t="str">
        <f>IF($O33="","",INDEX(Lançamentos!$R:$R,$O33))</f>
        <v/>
      </c>
      <c r="F33" s="25" t="str">
        <f t="shared" si="0"/>
        <v/>
      </c>
      <c r="G33" s="26" t="str">
        <f ca="1">IF($O33="","",TODAY()-INDEX(Lançamentos!$B:$B,$O33))</f>
        <v/>
      </c>
      <c r="H33" s="4" t="str">
        <f>IF($O33="","",INDEX(Lançamentos!$Y:$Y,$O33))</f>
        <v/>
      </c>
      <c r="I33" s="4"/>
      <c r="J33" s="4"/>
      <c r="K33" s="4"/>
      <c r="O33" s="17" t="str">
        <f>IFERROR(_xlfn.AGGREGATE(15,6,ROW(Lançamentos!$I$2:$I$1000)/((Lançamentos!$R$2:$R$1000&lt;&gt;"Concluído")*(Lançamentos!$R$2:$R$1000&lt;&gt;"Cancelado")*(Lançamentos!$I$2:$I$1000&lt;&gt;"")),12),"")</f>
        <v/>
      </c>
    </row>
    <row r="34" spans="1:15" x14ac:dyDescent="0.35">
      <c r="A34" s="25" t="str">
        <f>IF($O34="","",INDEX(Lançamentos!$A:$A,$O34))</f>
        <v/>
      </c>
      <c r="B34" s="25" t="str">
        <f>IF($O34="","",INDEX(Lançamentos!$E:$E,$O34))</f>
        <v/>
      </c>
      <c r="C34" s="25" t="str">
        <f>IF($O34="","",INDEX(Lançamentos!$F:$F,$O34))</f>
        <v/>
      </c>
      <c r="D34" s="25" t="str">
        <f>IF($O34="","",INDEX(Lançamentos!$I:$I,$O34))</f>
        <v/>
      </c>
      <c r="E34" s="25" t="str">
        <f>IF($O34="","",INDEX(Lançamentos!$R:$R,$O34))</f>
        <v/>
      </c>
      <c r="F34" s="25" t="str">
        <f t="shared" si="0"/>
        <v/>
      </c>
      <c r="G34" s="26" t="str">
        <f ca="1">IF($O34="","",TODAY()-INDEX(Lançamentos!$B:$B,$O34))</f>
        <v/>
      </c>
      <c r="H34" s="4" t="str">
        <f>IF($O34="","",INDEX(Lançamentos!$Y:$Y,$O34))</f>
        <v/>
      </c>
      <c r="I34" s="4"/>
      <c r="J34" s="4"/>
      <c r="K34" s="4"/>
      <c r="O34" s="17" t="str">
        <f>IFERROR(_xlfn.AGGREGATE(15,6,ROW(Lançamentos!$I$2:$I$1000)/((Lançamentos!$R$2:$R$1000&lt;&gt;"Concluído")*(Lançamentos!$R$2:$R$1000&lt;&gt;"Cancelado")*(Lançamentos!$I$2:$I$1000&lt;&gt;"")),13),"")</f>
        <v/>
      </c>
    </row>
    <row r="35" spans="1:15" x14ac:dyDescent="0.35">
      <c r="A35" s="25" t="str">
        <f>IF($O35="","",INDEX(Lançamentos!$A:$A,$O35))</f>
        <v/>
      </c>
      <c r="B35" s="25" t="str">
        <f>IF($O35="","",INDEX(Lançamentos!$E:$E,$O35))</f>
        <v/>
      </c>
      <c r="C35" s="25" t="str">
        <f>IF($O35="","",INDEX(Lançamentos!$F:$F,$O35))</f>
        <v/>
      </c>
      <c r="D35" s="25" t="str">
        <f>IF($O35="","",INDEX(Lançamentos!$I:$I,$O35))</f>
        <v/>
      </c>
      <c r="E35" s="25" t="str">
        <f>IF($O35="","",INDEX(Lançamentos!$R:$R,$O35))</f>
        <v/>
      </c>
      <c r="F35" s="25" t="str">
        <f t="shared" si="0"/>
        <v/>
      </c>
      <c r="G35" s="26" t="str">
        <f ca="1">IF($O35="","",TODAY()-INDEX(Lançamentos!$B:$B,$O35))</f>
        <v/>
      </c>
      <c r="H35" s="4" t="str">
        <f>IF($O35="","",INDEX(Lançamentos!$Y:$Y,$O35))</f>
        <v/>
      </c>
      <c r="I35" s="4"/>
      <c r="J35" s="4"/>
      <c r="K35" s="4"/>
      <c r="O35" s="17" t="str">
        <f>IFERROR(_xlfn.AGGREGATE(15,6,ROW(Lançamentos!$I$2:$I$1000)/((Lançamentos!$R$2:$R$1000&lt;&gt;"Concluído")*(Lançamentos!$R$2:$R$1000&lt;&gt;"Cancelado")*(Lançamentos!$I$2:$I$1000&lt;&gt;"")),14),"")</f>
        <v/>
      </c>
    </row>
    <row r="36" spans="1:15" x14ac:dyDescent="0.35">
      <c r="A36" s="25" t="str">
        <f>IF($O36="","",INDEX(Lançamentos!$A:$A,$O36))</f>
        <v/>
      </c>
      <c r="B36" s="25" t="str">
        <f>IF($O36="","",INDEX(Lançamentos!$E:$E,$O36))</f>
        <v/>
      </c>
      <c r="C36" s="25" t="str">
        <f>IF($O36="","",INDEX(Lançamentos!$F:$F,$O36))</f>
        <v/>
      </c>
      <c r="D36" s="25" t="str">
        <f>IF($O36="","",INDEX(Lançamentos!$I:$I,$O36))</f>
        <v/>
      </c>
      <c r="E36" s="25" t="str">
        <f>IF($O36="","",INDEX(Lançamentos!$R:$R,$O36))</f>
        <v/>
      </c>
      <c r="F36" s="25" t="str">
        <f t="shared" si="0"/>
        <v/>
      </c>
      <c r="G36" s="26" t="str">
        <f ca="1">IF($O36="","",TODAY()-INDEX(Lançamentos!$B:$B,$O36))</f>
        <v/>
      </c>
      <c r="H36" s="4" t="str">
        <f>IF($O36="","",INDEX(Lançamentos!$Y:$Y,$O36))</f>
        <v/>
      </c>
      <c r="I36" s="4"/>
      <c r="J36" s="4"/>
      <c r="K36" s="4"/>
      <c r="O36" s="17" t="str">
        <f>IFERROR(_xlfn.AGGREGATE(15,6,ROW(Lançamentos!$I$2:$I$1000)/((Lançamentos!$R$2:$R$1000&lt;&gt;"Concluído")*(Lançamentos!$R$2:$R$1000&lt;&gt;"Cancelado")*(Lançamentos!$I$2:$I$1000&lt;&gt;"")),15),"")</f>
        <v/>
      </c>
    </row>
    <row r="37" spans="1:15" x14ac:dyDescent="0.35">
      <c r="A37" s="25" t="str">
        <f>IF($O37="","",INDEX(Lançamentos!$A:$A,$O37))</f>
        <v/>
      </c>
      <c r="B37" s="25" t="str">
        <f>IF($O37="","",INDEX(Lançamentos!$E:$E,$O37))</f>
        <v/>
      </c>
      <c r="C37" s="25" t="str">
        <f>IF($O37="","",INDEX(Lançamentos!$F:$F,$O37))</f>
        <v/>
      </c>
      <c r="D37" s="25" t="str">
        <f>IF($O37="","",INDEX(Lançamentos!$I:$I,$O37))</f>
        <v/>
      </c>
      <c r="E37" s="25" t="str">
        <f>IF($O37="","",INDEX(Lançamentos!$R:$R,$O37))</f>
        <v/>
      </c>
      <c r="F37" s="25" t="str">
        <f t="shared" si="0"/>
        <v/>
      </c>
      <c r="G37" s="26" t="str">
        <f ca="1">IF($O37="","",TODAY()-INDEX(Lançamentos!$B:$B,$O37))</f>
        <v/>
      </c>
      <c r="H37" s="4" t="str">
        <f>IF($O37="","",INDEX(Lançamentos!$Y:$Y,$O37))</f>
        <v/>
      </c>
      <c r="I37" s="4"/>
      <c r="J37" s="4"/>
      <c r="K37" s="4"/>
      <c r="O37" s="17" t="str">
        <f>IFERROR(_xlfn.AGGREGATE(15,6,ROW(Lançamentos!$I$2:$I$1000)/((Lançamentos!$R$2:$R$1000&lt;&gt;"Concluído")*(Lançamentos!$R$2:$R$1000&lt;&gt;"Cancelado")*(Lançamentos!$I$2:$I$1000&lt;&gt;"")),16),"")</f>
        <v/>
      </c>
    </row>
    <row r="38" spans="1:15" x14ac:dyDescent="0.35">
      <c r="A38" s="25" t="str">
        <f>IF($O38="","",INDEX(Lançamentos!$A:$A,$O38))</f>
        <v/>
      </c>
      <c r="B38" s="25" t="str">
        <f>IF($O38="","",INDEX(Lançamentos!$E:$E,$O38))</f>
        <v/>
      </c>
      <c r="C38" s="25" t="str">
        <f>IF($O38="","",INDEX(Lançamentos!$F:$F,$O38))</f>
        <v/>
      </c>
      <c r="D38" s="25" t="str">
        <f>IF($O38="","",INDEX(Lançamentos!$I:$I,$O38))</f>
        <v/>
      </c>
      <c r="E38" s="25" t="str">
        <f>IF($O38="","",INDEX(Lançamentos!$R:$R,$O38))</f>
        <v/>
      </c>
      <c r="F38" s="25" t="str">
        <f t="shared" si="0"/>
        <v/>
      </c>
      <c r="G38" s="26" t="str">
        <f ca="1">IF($O38="","",TODAY()-INDEX(Lançamentos!$B:$B,$O38))</f>
        <v/>
      </c>
      <c r="H38" s="4" t="str">
        <f>IF($O38="","",INDEX(Lançamentos!$Y:$Y,$O38))</f>
        <v/>
      </c>
      <c r="I38" s="4"/>
      <c r="J38" s="4"/>
      <c r="K38" s="4"/>
      <c r="O38" s="17" t="str">
        <f>IFERROR(_xlfn.AGGREGATE(15,6,ROW(Lançamentos!$I$2:$I$1000)/((Lançamentos!$R$2:$R$1000&lt;&gt;"Concluído")*(Lançamentos!$R$2:$R$1000&lt;&gt;"Cancelado")*(Lançamentos!$I$2:$I$1000&lt;&gt;"")),17),"")</f>
        <v/>
      </c>
    </row>
    <row r="39" spans="1:15" x14ac:dyDescent="0.35">
      <c r="A39" s="25" t="str">
        <f>IF($O39="","",INDEX(Lançamentos!$A:$A,$O39))</f>
        <v/>
      </c>
      <c r="B39" s="25" t="str">
        <f>IF($O39="","",INDEX(Lançamentos!$E:$E,$O39))</f>
        <v/>
      </c>
      <c r="C39" s="25" t="str">
        <f>IF($O39="","",INDEX(Lançamentos!$F:$F,$O39))</f>
        <v/>
      </c>
      <c r="D39" s="25" t="str">
        <f>IF($O39="","",INDEX(Lançamentos!$I:$I,$O39))</f>
        <v/>
      </c>
      <c r="E39" s="25" t="str">
        <f>IF($O39="","",INDEX(Lançamentos!$R:$R,$O39))</f>
        <v/>
      </c>
      <c r="F39" s="25" t="str">
        <f t="shared" si="0"/>
        <v/>
      </c>
      <c r="G39" s="26" t="str">
        <f ca="1">IF($O39="","",TODAY()-INDEX(Lançamentos!$B:$B,$O39))</f>
        <v/>
      </c>
      <c r="H39" s="4" t="str">
        <f>IF($O39="","",INDEX(Lançamentos!$Y:$Y,$O39))</f>
        <v/>
      </c>
      <c r="I39" s="4"/>
      <c r="J39" s="4"/>
      <c r="K39" s="4"/>
      <c r="O39" s="17" t="str">
        <f>IFERROR(_xlfn.AGGREGATE(15,6,ROW(Lançamentos!$I$2:$I$1000)/((Lançamentos!$R$2:$R$1000&lt;&gt;"Concluído")*(Lançamentos!$R$2:$R$1000&lt;&gt;"Cancelado")*(Lançamentos!$I$2:$I$1000&lt;&gt;"")),18),"")</f>
        <v/>
      </c>
    </row>
    <row r="40" spans="1:15" x14ac:dyDescent="0.35">
      <c r="A40" s="25" t="str">
        <f>IF($O40="","",INDEX(Lançamentos!$A:$A,$O40))</f>
        <v/>
      </c>
      <c r="B40" s="25" t="str">
        <f>IF($O40="","",INDEX(Lançamentos!$E:$E,$O40))</f>
        <v/>
      </c>
      <c r="C40" s="25" t="str">
        <f>IF($O40="","",INDEX(Lançamentos!$F:$F,$O40))</f>
        <v/>
      </c>
      <c r="D40" s="25" t="str">
        <f>IF($O40="","",INDEX(Lançamentos!$I:$I,$O40))</f>
        <v/>
      </c>
      <c r="E40" s="25" t="str">
        <f>IF($O40="","",INDEX(Lançamentos!$R:$R,$O40))</f>
        <v/>
      </c>
      <c r="F40" s="25" t="str">
        <f t="shared" si="0"/>
        <v/>
      </c>
      <c r="G40" s="26" t="str">
        <f ca="1">IF($O40="","",TODAY()-INDEX(Lançamentos!$B:$B,$O40))</f>
        <v/>
      </c>
      <c r="H40" s="4" t="str">
        <f>IF($O40="","",INDEX(Lançamentos!$Y:$Y,$O40))</f>
        <v/>
      </c>
      <c r="I40" s="4"/>
      <c r="J40" s="4"/>
      <c r="K40" s="4"/>
      <c r="O40" s="17" t="str">
        <f>IFERROR(_xlfn.AGGREGATE(15,6,ROW(Lançamentos!$I$2:$I$1000)/((Lançamentos!$R$2:$R$1000&lt;&gt;"Concluído")*(Lançamentos!$R$2:$R$1000&lt;&gt;"Cancelado")*(Lançamentos!$I$2:$I$1000&lt;&gt;"")),19),"")</f>
        <v/>
      </c>
    </row>
    <row r="41" spans="1:15" x14ac:dyDescent="0.35">
      <c r="A41" s="25" t="str">
        <f>IF($O41="","",INDEX(Lançamentos!$A:$A,$O41))</f>
        <v/>
      </c>
      <c r="B41" s="25" t="str">
        <f>IF($O41="","",INDEX(Lançamentos!$E:$E,$O41))</f>
        <v/>
      </c>
      <c r="C41" s="25" t="str">
        <f>IF($O41="","",INDEX(Lançamentos!$F:$F,$O41))</f>
        <v/>
      </c>
      <c r="D41" s="25" t="str">
        <f>IF($O41="","",INDEX(Lançamentos!$I:$I,$O41))</f>
        <v/>
      </c>
      <c r="E41" s="25" t="str">
        <f>IF($O41="","",INDEX(Lançamentos!$R:$R,$O41))</f>
        <v/>
      </c>
      <c r="F41" s="25" t="str">
        <f t="shared" si="0"/>
        <v/>
      </c>
      <c r="G41" s="26" t="str">
        <f ca="1">IF($O41="","",TODAY()-INDEX(Lançamentos!$B:$B,$O41))</f>
        <v/>
      </c>
      <c r="H41" s="4" t="str">
        <f>IF($O41="","",INDEX(Lançamentos!$Y:$Y,$O41))</f>
        <v/>
      </c>
      <c r="I41" s="4"/>
      <c r="J41" s="4"/>
      <c r="K41" s="4"/>
      <c r="O41" s="17" t="str">
        <f>IFERROR(_xlfn.AGGREGATE(15,6,ROW(Lançamentos!$I$2:$I$1000)/((Lançamentos!$R$2:$R$1000&lt;&gt;"Concluído")*(Lançamentos!$R$2:$R$1000&lt;&gt;"Cancelado")*(Lançamentos!$I$2:$I$1000&lt;&gt;"")),20),"")</f>
        <v/>
      </c>
    </row>
    <row r="43" spans="1:15" ht="19.5" customHeight="1" x14ac:dyDescent="0.35">
      <c r="A43" s="12" t="s">
        <v>104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5" ht="30" customHeight="1" x14ac:dyDescent="0.35">
      <c r="A44" s="18" t="s">
        <v>105</v>
      </c>
      <c r="B44" s="18" t="s">
        <v>99</v>
      </c>
      <c r="C44" s="18" t="s">
        <v>106</v>
      </c>
      <c r="D44" s="18" t="s">
        <v>107</v>
      </c>
      <c r="E44" s="18" t="s">
        <v>108</v>
      </c>
      <c r="F44" s="18" t="s">
        <v>109</v>
      </c>
      <c r="G44" s="18" t="s">
        <v>110</v>
      </c>
      <c r="H44" s="18" t="s">
        <v>111</v>
      </c>
      <c r="I44" s="18" t="s">
        <v>112</v>
      </c>
      <c r="J44" s="18" t="s">
        <v>113</v>
      </c>
      <c r="K44" s="18" t="s">
        <v>114</v>
      </c>
      <c r="L44" s="18" t="s">
        <v>115</v>
      </c>
      <c r="M44" s="18" t="s">
        <v>116</v>
      </c>
    </row>
    <row r="45" spans="1:15" x14ac:dyDescent="0.35">
      <c r="A45" s="25"/>
      <c r="B45" s="25"/>
      <c r="C45" s="25" t="str">
        <f>IF($B45="","",IFERROR(VLOOKUP($B45,Lançamentos!$A$2:$I$1000,5,0),""))</f>
        <v/>
      </c>
      <c r="D45" s="25" t="str">
        <f>IF($B45="","",IFERROR(VLOOKUP($B45,Lançamentos!$A$2:$I$1000,9,0),""))</f>
        <v/>
      </c>
      <c r="E45" s="25" t="str">
        <f>IF($B45="","",IFERROR(IF(VLOOKUP($B45,Lançamentos!$A$2:$R$1000,18,0)="Concluído","🟢 Concluído",IF(VLOOKUP($B45,Lançamentos!$A$2:$R$1000,18,0)="Em andamento","🟡 Em andamento",IF(VLOOKUP($B45,Lançamentos!$A$2:$R$1000,18,0)="Aguardando terceiros","⏸ Aguardando Terceiros",IF(VLOOKUP($B45,Lançamentos!$A$2:$R$1000,18,0)="Não iniciado","⚪ Não iniciado","🟡 Em andamento")))),""))</f>
        <v/>
      </c>
      <c r="F45" s="25"/>
      <c r="G45" s="25"/>
      <c r="H45" s="25"/>
      <c r="I45" s="25"/>
      <c r="J45" s="25"/>
      <c r="K45" s="27"/>
      <c r="L45" s="28"/>
      <c r="M45" s="29" t="str">
        <f t="shared" ref="M45:M84" si="1">IF($B45="","",COUNTIF($B$45:$B$84,$B45))</f>
        <v/>
      </c>
    </row>
    <row r="46" spans="1:15" x14ac:dyDescent="0.35">
      <c r="A46" s="25"/>
      <c r="B46" s="25"/>
      <c r="C46" s="25" t="str">
        <f>IF($B46="","",IFERROR(VLOOKUP($B46,Lançamentos!$A$2:$I$1000,5,0),""))</f>
        <v/>
      </c>
      <c r="D46" s="25" t="str">
        <f>IF($B46="","",IFERROR(VLOOKUP($B46,Lançamentos!$A$2:$I$1000,9,0),""))</f>
        <v/>
      </c>
      <c r="E46" s="25" t="str">
        <f>IF($B46="","",IFERROR(IF(VLOOKUP($B46,Lançamentos!$A$2:$R$1000,18,0)="Concluído","🟢 Concluído",IF(VLOOKUP($B46,Lançamentos!$A$2:$R$1000,18,0)="Em andamento","🟡 Em andamento",IF(VLOOKUP($B46,Lançamentos!$A$2:$R$1000,18,0)="Aguardando terceiros","⏸ Aguardando Terceiros",IF(VLOOKUP($B46,Lançamentos!$A$2:$R$1000,18,0)="Não iniciado","⚪ Não iniciado","🟡 Em andamento")))),""))</f>
        <v/>
      </c>
      <c r="F46" s="25"/>
      <c r="G46" s="25"/>
      <c r="H46" s="25"/>
      <c r="I46" s="25"/>
      <c r="J46" s="25"/>
      <c r="K46" s="27"/>
      <c r="L46" s="28"/>
      <c r="M46" s="29" t="str">
        <f t="shared" si="1"/>
        <v/>
      </c>
    </row>
    <row r="47" spans="1:15" x14ac:dyDescent="0.35">
      <c r="A47" s="25"/>
      <c r="B47" s="25"/>
      <c r="C47" s="25" t="str">
        <f>IF($B47="","",IFERROR(VLOOKUP($B47,Lançamentos!$A$2:$I$1000,5,0),""))</f>
        <v/>
      </c>
      <c r="D47" s="25" t="str">
        <f>IF($B47="","",IFERROR(VLOOKUP($B47,Lançamentos!$A$2:$I$1000,9,0),""))</f>
        <v/>
      </c>
      <c r="E47" s="25" t="str">
        <f>IF($B47="","",IFERROR(IF(VLOOKUP($B47,Lançamentos!$A$2:$R$1000,18,0)="Concluído","🟢 Concluído",IF(VLOOKUP($B47,Lançamentos!$A$2:$R$1000,18,0)="Em andamento","🟡 Em andamento",IF(VLOOKUP($B47,Lançamentos!$A$2:$R$1000,18,0)="Aguardando terceiros","⏸ Aguardando Terceiros",IF(VLOOKUP($B47,Lançamentos!$A$2:$R$1000,18,0)="Não iniciado","⚪ Não iniciado","🟡 Em andamento")))),""))</f>
        <v/>
      </c>
      <c r="F47" s="25"/>
      <c r="G47" s="25"/>
      <c r="H47" s="25"/>
      <c r="I47" s="25"/>
      <c r="J47" s="25"/>
      <c r="K47" s="27"/>
      <c r="L47" s="28"/>
      <c r="M47" s="29" t="str">
        <f t="shared" si="1"/>
        <v/>
      </c>
    </row>
    <row r="48" spans="1:15" x14ac:dyDescent="0.35">
      <c r="A48" s="25"/>
      <c r="B48" s="25"/>
      <c r="C48" s="25" t="str">
        <f>IF($B48="","",IFERROR(VLOOKUP($B48,Lançamentos!$A$2:$I$1000,5,0),""))</f>
        <v/>
      </c>
      <c r="D48" s="25" t="str">
        <f>IF($B48="","",IFERROR(VLOOKUP($B48,Lançamentos!$A$2:$I$1000,9,0),""))</f>
        <v/>
      </c>
      <c r="E48" s="25" t="str">
        <f>IF($B48="","",IFERROR(IF(VLOOKUP($B48,Lançamentos!$A$2:$R$1000,18,0)="Concluído","🟢 Concluído",IF(VLOOKUP($B48,Lançamentos!$A$2:$R$1000,18,0)="Em andamento","🟡 Em andamento",IF(VLOOKUP($B48,Lançamentos!$A$2:$R$1000,18,0)="Aguardando terceiros","⏸ Aguardando Terceiros",IF(VLOOKUP($B48,Lançamentos!$A$2:$R$1000,18,0)="Não iniciado","⚪ Não iniciado","🟡 Em andamento")))),""))</f>
        <v/>
      </c>
      <c r="F48" s="25"/>
      <c r="G48" s="25"/>
      <c r="H48" s="25"/>
      <c r="I48" s="25"/>
      <c r="J48" s="25"/>
      <c r="K48" s="27"/>
      <c r="L48" s="28"/>
      <c r="M48" s="29" t="str">
        <f t="shared" si="1"/>
        <v/>
      </c>
    </row>
    <row r="49" spans="1:13" x14ac:dyDescent="0.35">
      <c r="A49" s="25"/>
      <c r="B49" s="25"/>
      <c r="C49" s="25" t="str">
        <f>IF($B49="","",IFERROR(VLOOKUP($B49,Lançamentos!$A$2:$I$1000,5,0),""))</f>
        <v/>
      </c>
      <c r="D49" s="25" t="str">
        <f>IF($B49="","",IFERROR(VLOOKUP($B49,Lançamentos!$A$2:$I$1000,9,0),""))</f>
        <v/>
      </c>
      <c r="E49" s="25" t="str">
        <f>IF($B49="","",IFERROR(IF(VLOOKUP($B49,Lançamentos!$A$2:$R$1000,18,0)="Concluído","🟢 Concluído",IF(VLOOKUP($B49,Lançamentos!$A$2:$R$1000,18,0)="Em andamento","🟡 Em andamento",IF(VLOOKUP($B49,Lançamentos!$A$2:$R$1000,18,0)="Aguardando terceiros","⏸ Aguardando Terceiros",IF(VLOOKUP($B49,Lançamentos!$A$2:$R$1000,18,0)="Não iniciado","⚪ Não iniciado","🟡 Em andamento")))),""))</f>
        <v/>
      </c>
      <c r="F49" s="25"/>
      <c r="G49" s="25"/>
      <c r="H49" s="25"/>
      <c r="I49" s="25"/>
      <c r="J49" s="25"/>
      <c r="K49" s="27"/>
      <c r="L49" s="28"/>
      <c r="M49" s="29" t="str">
        <f t="shared" si="1"/>
        <v/>
      </c>
    </row>
    <row r="50" spans="1:13" x14ac:dyDescent="0.35">
      <c r="A50" s="25"/>
      <c r="B50" s="25"/>
      <c r="C50" s="25" t="str">
        <f>IF($B50="","",IFERROR(VLOOKUP($B50,Lançamentos!$A$2:$I$1000,5,0),""))</f>
        <v/>
      </c>
      <c r="D50" s="25" t="str">
        <f>IF($B50="","",IFERROR(VLOOKUP($B50,Lançamentos!$A$2:$I$1000,9,0),""))</f>
        <v/>
      </c>
      <c r="E50" s="25" t="str">
        <f>IF($B50="","",IFERROR(IF(VLOOKUP($B50,Lançamentos!$A$2:$R$1000,18,0)="Concluído","🟢 Concluído",IF(VLOOKUP($B50,Lançamentos!$A$2:$R$1000,18,0)="Em andamento","🟡 Em andamento",IF(VLOOKUP($B50,Lançamentos!$A$2:$R$1000,18,0)="Aguardando terceiros","⏸ Aguardando Terceiros",IF(VLOOKUP($B50,Lançamentos!$A$2:$R$1000,18,0)="Não iniciado","⚪ Não iniciado","🟡 Em andamento")))),""))</f>
        <v/>
      </c>
      <c r="F50" s="25"/>
      <c r="G50" s="25"/>
      <c r="H50" s="25"/>
      <c r="I50" s="25"/>
      <c r="J50" s="25"/>
      <c r="K50" s="27"/>
      <c r="L50" s="28"/>
      <c r="M50" s="29" t="str">
        <f t="shared" si="1"/>
        <v/>
      </c>
    </row>
    <row r="51" spans="1:13" x14ac:dyDescent="0.35">
      <c r="A51" s="25"/>
      <c r="B51" s="25"/>
      <c r="C51" s="25" t="str">
        <f>IF($B51="","",IFERROR(VLOOKUP($B51,Lançamentos!$A$2:$I$1000,5,0),""))</f>
        <v/>
      </c>
      <c r="D51" s="25" t="str">
        <f>IF($B51="","",IFERROR(VLOOKUP($B51,Lançamentos!$A$2:$I$1000,9,0),""))</f>
        <v/>
      </c>
      <c r="E51" s="25" t="str">
        <f>IF($B51="","",IFERROR(IF(VLOOKUP($B51,Lançamentos!$A$2:$R$1000,18,0)="Concluído","🟢 Concluído",IF(VLOOKUP($B51,Lançamentos!$A$2:$R$1000,18,0)="Em andamento","🟡 Em andamento",IF(VLOOKUP($B51,Lançamentos!$A$2:$R$1000,18,0)="Aguardando terceiros","⏸ Aguardando Terceiros",IF(VLOOKUP($B51,Lançamentos!$A$2:$R$1000,18,0)="Não iniciado","⚪ Não iniciado","🟡 Em andamento")))),""))</f>
        <v/>
      </c>
      <c r="F51" s="25"/>
      <c r="G51" s="25"/>
      <c r="H51" s="25"/>
      <c r="I51" s="25"/>
      <c r="J51" s="25"/>
      <c r="K51" s="27"/>
      <c r="L51" s="28"/>
      <c r="M51" s="29" t="str">
        <f t="shared" si="1"/>
        <v/>
      </c>
    </row>
    <row r="52" spans="1:13" x14ac:dyDescent="0.35">
      <c r="A52" s="25"/>
      <c r="B52" s="25"/>
      <c r="C52" s="25" t="str">
        <f>IF($B52="","",IFERROR(VLOOKUP($B52,Lançamentos!$A$2:$I$1000,5,0),""))</f>
        <v/>
      </c>
      <c r="D52" s="25" t="str">
        <f>IF($B52="","",IFERROR(VLOOKUP($B52,Lançamentos!$A$2:$I$1000,9,0),""))</f>
        <v/>
      </c>
      <c r="E52" s="25" t="str">
        <f>IF($B52="","",IFERROR(IF(VLOOKUP($B52,Lançamentos!$A$2:$R$1000,18,0)="Concluído","🟢 Concluído",IF(VLOOKUP($B52,Lançamentos!$A$2:$R$1000,18,0)="Em andamento","🟡 Em andamento",IF(VLOOKUP($B52,Lançamentos!$A$2:$R$1000,18,0)="Aguardando terceiros","⏸ Aguardando Terceiros",IF(VLOOKUP($B52,Lançamentos!$A$2:$R$1000,18,0)="Não iniciado","⚪ Não iniciado","🟡 Em andamento")))),""))</f>
        <v/>
      </c>
      <c r="F52" s="25"/>
      <c r="G52" s="25"/>
      <c r="H52" s="25"/>
      <c r="I52" s="25"/>
      <c r="J52" s="25"/>
      <c r="K52" s="27"/>
      <c r="L52" s="28"/>
      <c r="M52" s="29" t="str">
        <f t="shared" si="1"/>
        <v/>
      </c>
    </row>
    <row r="53" spans="1:13" x14ac:dyDescent="0.35">
      <c r="A53" s="25"/>
      <c r="B53" s="25"/>
      <c r="C53" s="25" t="str">
        <f>IF($B53="","",IFERROR(VLOOKUP($B53,Lançamentos!$A$2:$I$1000,5,0),""))</f>
        <v/>
      </c>
      <c r="D53" s="25" t="str">
        <f>IF($B53="","",IFERROR(VLOOKUP($B53,Lançamentos!$A$2:$I$1000,9,0),""))</f>
        <v/>
      </c>
      <c r="E53" s="25" t="str">
        <f>IF($B53="","",IFERROR(IF(VLOOKUP($B53,Lançamentos!$A$2:$R$1000,18,0)="Concluído","🟢 Concluído",IF(VLOOKUP($B53,Lançamentos!$A$2:$R$1000,18,0)="Em andamento","🟡 Em andamento",IF(VLOOKUP($B53,Lançamentos!$A$2:$R$1000,18,0)="Aguardando terceiros","⏸ Aguardando Terceiros",IF(VLOOKUP($B53,Lançamentos!$A$2:$R$1000,18,0)="Não iniciado","⚪ Não iniciado","🟡 Em andamento")))),""))</f>
        <v/>
      </c>
      <c r="F53" s="25"/>
      <c r="G53" s="25"/>
      <c r="H53" s="25"/>
      <c r="I53" s="25"/>
      <c r="J53" s="25"/>
      <c r="K53" s="27"/>
      <c r="L53" s="28"/>
      <c r="M53" s="29" t="str">
        <f t="shared" si="1"/>
        <v/>
      </c>
    </row>
    <row r="54" spans="1:13" x14ac:dyDescent="0.35">
      <c r="A54" s="25"/>
      <c r="B54" s="25"/>
      <c r="C54" s="25" t="str">
        <f>IF($B54="","",IFERROR(VLOOKUP($B54,Lançamentos!$A$2:$I$1000,5,0),""))</f>
        <v/>
      </c>
      <c r="D54" s="25" t="str">
        <f>IF($B54="","",IFERROR(VLOOKUP($B54,Lançamentos!$A$2:$I$1000,9,0),""))</f>
        <v/>
      </c>
      <c r="E54" s="25" t="str">
        <f>IF($B54="","",IFERROR(IF(VLOOKUP($B54,Lançamentos!$A$2:$R$1000,18,0)="Concluído","🟢 Concluído",IF(VLOOKUP($B54,Lançamentos!$A$2:$R$1000,18,0)="Em andamento","🟡 Em andamento",IF(VLOOKUP($B54,Lançamentos!$A$2:$R$1000,18,0)="Aguardando terceiros","⏸ Aguardando Terceiros",IF(VLOOKUP($B54,Lançamentos!$A$2:$R$1000,18,0)="Não iniciado","⚪ Não iniciado","🟡 Em andamento")))),""))</f>
        <v/>
      </c>
      <c r="F54" s="25"/>
      <c r="G54" s="25"/>
      <c r="H54" s="25"/>
      <c r="I54" s="25"/>
      <c r="J54" s="25"/>
      <c r="K54" s="27"/>
      <c r="L54" s="28"/>
      <c r="M54" s="29" t="str">
        <f t="shared" si="1"/>
        <v/>
      </c>
    </row>
    <row r="55" spans="1:13" x14ac:dyDescent="0.35">
      <c r="A55" s="25"/>
      <c r="B55" s="25"/>
      <c r="C55" s="25" t="str">
        <f>IF($B55="","",IFERROR(VLOOKUP($B55,Lançamentos!$A$2:$I$1000,5,0),""))</f>
        <v/>
      </c>
      <c r="D55" s="25" t="str">
        <f>IF($B55="","",IFERROR(VLOOKUP($B55,Lançamentos!$A$2:$I$1000,9,0),""))</f>
        <v/>
      </c>
      <c r="E55" s="25" t="str">
        <f>IF($B55="","",IFERROR(IF(VLOOKUP($B55,Lançamentos!$A$2:$R$1000,18,0)="Concluído","🟢 Concluído",IF(VLOOKUP($B55,Lançamentos!$A$2:$R$1000,18,0)="Em andamento","🟡 Em andamento",IF(VLOOKUP($B55,Lançamentos!$A$2:$R$1000,18,0)="Aguardando terceiros","⏸ Aguardando Terceiros",IF(VLOOKUP($B55,Lançamentos!$A$2:$R$1000,18,0)="Não iniciado","⚪ Não iniciado","🟡 Em andamento")))),""))</f>
        <v/>
      </c>
      <c r="F55" s="25"/>
      <c r="G55" s="25"/>
      <c r="H55" s="25"/>
      <c r="I55" s="25"/>
      <c r="J55" s="25"/>
      <c r="K55" s="27"/>
      <c r="L55" s="28"/>
      <c r="M55" s="29" t="str">
        <f t="shared" si="1"/>
        <v/>
      </c>
    </row>
    <row r="56" spans="1:13" x14ac:dyDescent="0.35">
      <c r="A56" s="25"/>
      <c r="B56" s="25"/>
      <c r="C56" s="25" t="str">
        <f>IF($B56="","",IFERROR(VLOOKUP($B56,Lançamentos!$A$2:$I$1000,5,0),""))</f>
        <v/>
      </c>
      <c r="D56" s="25" t="str">
        <f>IF($B56="","",IFERROR(VLOOKUP($B56,Lançamentos!$A$2:$I$1000,9,0),""))</f>
        <v/>
      </c>
      <c r="E56" s="25" t="str">
        <f>IF($B56="","",IFERROR(IF(VLOOKUP($B56,Lançamentos!$A$2:$R$1000,18,0)="Concluído","🟢 Concluído",IF(VLOOKUP($B56,Lançamentos!$A$2:$R$1000,18,0)="Em andamento","🟡 Em andamento",IF(VLOOKUP($B56,Lançamentos!$A$2:$R$1000,18,0)="Aguardando terceiros","⏸ Aguardando Terceiros",IF(VLOOKUP($B56,Lançamentos!$A$2:$R$1000,18,0)="Não iniciado","⚪ Não iniciado","🟡 Em andamento")))),""))</f>
        <v/>
      </c>
      <c r="F56" s="25"/>
      <c r="G56" s="25"/>
      <c r="H56" s="25"/>
      <c r="I56" s="25"/>
      <c r="J56" s="25"/>
      <c r="K56" s="27"/>
      <c r="L56" s="28"/>
      <c r="M56" s="29" t="str">
        <f t="shared" si="1"/>
        <v/>
      </c>
    </row>
    <row r="57" spans="1:13" x14ac:dyDescent="0.35">
      <c r="A57" s="25"/>
      <c r="B57" s="25"/>
      <c r="C57" s="25" t="str">
        <f>IF($B57="","",IFERROR(VLOOKUP($B57,Lançamentos!$A$2:$I$1000,5,0),""))</f>
        <v/>
      </c>
      <c r="D57" s="25" t="str">
        <f>IF($B57="","",IFERROR(VLOOKUP($B57,Lançamentos!$A$2:$I$1000,9,0),""))</f>
        <v/>
      </c>
      <c r="E57" s="25" t="str">
        <f>IF($B57="","",IFERROR(IF(VLOOKUP($B57,Lançamentos!$A$2:$R$1000,18,0)="Concluído","🟢 Concluído",IF(VLOOKUP($B57,Lançamentos!$A$2:$R$1000,18,0)="Em andamento","🟡 Em andamento",IF(VLOOKUP($B57,Lançamentos!$A$2:$R$1000,18,0)="Aguardando terceiros","⏸ Aguardando Terceiros",IF(VLOOKUP($B57,Lançamentos!$A$2:$R$1000,18,0)="Não iniciado","⚪ Não iniciado","🟡 Em andamento")))),""))</f>
        <v/>
      </c>
      <c r="F57" s="25"/>
      <c r="G57" s="25"/>
      <c r="H57" s="25"/>
      <c r="I57" s="25"/>
      <c r="J57" s="25"/>
      <c r="K57" s="27"/>
      <c r="L57" s="28"/>
      <c r="M57" s="29" t="str">
        <f t="shared" si="1"/>
        <v/>
      </c>
    </row>
    <row r="58" spans="1:13" x14ac:dyDescent="0.35">
      <c r="A58" s="25"/>
      <c r="B58" s="25"/>
      <c r="C58" s="25" t="str">
        <f>IF($B58="","",IFERROR(VLOOKUP($B58,Lançamentos!$A$2:$I$1000,5,0),""))</f>
        <v/>
      </c>
      <c r="D58" s="25" t="str">
        <f>IF($B58="","",IFERROR(VLOOKUP($B58,Lançamentos!$A$2:$I$1000,9,0),""))</f>
        <v/>
      </c>
      <c r="E58" s="25" t="str">
        <f>IF($B58="","",IFERROR(IF(VLOOKUP($B58,Lançamentos!$A$2:$R$1000,18,0)="Concluído","🟢 Concluído",IF(VLOOKUP($B58,Lançamentos!$A$2:$R$1000,18,0)="Em andamento","🟡 Em andamento",IF(VLOOKUP($B58,Lançamentos!$A$2:$R$1000,18,0)="Aguardando terceiros","⏸ Aguardando Terceiros",IF(VLOOKUP($B58,Lançamentos!$A$2:$R$1000,18,0)="Não iniciado","⚪ Não iniciado","🟡 Em andamento")))),""))</f>
        <v/>
      </c>
      <c r="F58" s="25"/>
      <c r="G58" s="25"/>
      <c r="H58" s="25"/>
      <c r="I58" s="25"/>
      <c r="J58" s="25"/>
      <c r="K58" s="27"/>
      <c r="L58" s="28"/>
      <c r="M58" s="29" t="str">
        <f t="shared" si="1"/>
        <v/>
      </c>
    </row>
    <row r="59" spans="1:13" x14ac:dyDescent="0.35">
      <c r="A59" s="25"/>
      <c r="B59" s="25"/>
      <c r="C59" s="25" t="str">
        <f>IF($B59="","",IFERROR(VLOOKUP($B59,Lançamentos!$A$2:$I$1000,5,0),""))</f>
        <v/>
      </c>
      <c r="D59" s="25" t="str">
        <f>IF($B59="","",IFERROR(VLOOKUP($B59,Lançamentos!$A$2:$I$1000,9,0),""))</f>
        <v/>
      </c>
      <c r="E59" s="25" t="str">
        <f>IF($B59="","",IFERROR(IF(VLOOKUP($B59,Lançamentos!$A$2:$R$1000,18,0)="Concluído","🟢 Concluído",IF(VLOOKUP($B59,Lançamentos!$A$2:$R$1000,18,0)="Em andamento","🟡 Em andamento",IF(VLOOKUP($B59,Lançamentos!$A$2:$R$1000,18,0)="Aguardando terceiros","⏸ Aguardando Terceiros",IF(VLOOKUP($B59,Lançamentos!$A$2:$R$1000,18,0)="Não iniciado","⚪ Não iniciado","🟡 Em andamento")))),""))</f>
        <v/>
      </c>
      <c r="F59" s="25"/>
      <c r="G59" s="25"/>
      <c r="H59" s="25"/>
      <c r="I59" s="25"/>
      <c r="J59" s="25"/>
      <c r="K59" s="27"/>
      <c r="L59" s="28"/>
      <c r="M59" s="29" t="str">
        <f t="shared" si="1"/>
        <v/>
      </c>
    </row>
    <row r="60" spans="1:13" x14ac:dyDescent="0.35">
      <c r="A60" s="25"/>
      <c r="B60" s="25"/>
      <c r="C60" s="25" t="str">
        <f>IF($B60="","",IFERROR(VLOOKUP($B60,Lançamentos!$A$2:$I$1000,5,0),""))</f>
        <v/>
      </c>
      <c r="D60" s="25" t="str">
        <f>IF($B60="","",IFERROR(VLOOKUP($B60,Lançamentos!$A$2:$I$1000,9,0),""))</f>
        <v/>
      </c>
      <c r="E60" s="25" t="str">
        <f>IF($B60="","",IFERROR(IF(VLOOKUP($B60,Lançamentos!$A$2:$R$1000,18,0)="Concluído","🟢 Concluído",IF(VLOOKUP($B60,Lançamentos!$A$2:$R$1000,18,0)="Em andamento","🟡 Em andamento",IF(VLOOKUP($B60,Lançamentos!$A$2:$R$1000,18,0)="Aguardando terceiros","⏸ Aguardando Terceiros",IF(VLOOKUP($B60,Lançamentos!$A$2:$R$1000,18,0)="Não iniciado","⚪ Não iniciado","🟡 Em andamento")))),""))</f>
        <v/>
      </c>
      <c r="F60" s="25"/>
      <c r="G60" s="25"/>
      <c r="H60" s="25"/>
      <c r="I60" s="25"/>
      <c r="J60" s="25"/>
      <c r="K60" s="27"/>
      <c r="L60" s="28"/>
      <c r="M60" s="29" t="str">
        <f t="shared" si="1"/>
        <v/>
      </c>
    </row>
    <row r="61" spans="1:13" x14ac:dyDescent="0.35">
      <c r="A61" s="25"/>
      <c r="B61" s="25"/>
      <c r="C61" s="25" t="str">
        <f>IF($B61="","",IFERROR(VLOOKUP($B61,Lançamentos!$A$2:$I$1000,5,0),""))</f>
        <v/>
      </c>
      <c r="D61" s="25" t="str">
        <f>IF($B61="","",IFERROR(VLOOKUP($B61,Lançamentos!$A$2:$I$1000,9,0),""))</f>
        <v/>
      </c>
      <c r="E61" s="25" t="str">
        <f>IF($B61="","",IFERROR(IF(VLOOKUP($B61,Lançamentos!$A$2:$R$1000,18,0)="Concluído","🟢 Concluído",IF(VLOOKUP($B61,Lançamentos!$A$2:$R$1000,18,0)="Em andamento","🟡 Em andamento",IF(VLOOKUP($B61,Lançamentos!$A$2:$R$1000,18,0)="Aguardando terceiros","⏸ Aguardando Terceiros",IF(VLOOKUP($B61,Lançamentos!$A$2:$R$1000,18,0)="Não iniciado","⚪ Não iniciado","🟡 Em andamento")))),""))</f>
        <v/>
      </c>
      <c r="F61" s="25"/>
      <c r="G61" s="25"/>
      <c r="H61" s="25"/>
      <c r="I61" s="25"/>
      <c r="J61" s="25"/>
      <c r="K61" s="27"/>
      <c r="L61" s="28"/>
      <c r="M61" s="29" t="str">
        <f t="shared" si="1"/>
        <v/>
      </c>
    </row>
    <row r="62" spans="1:13" x14ac:dyDescent="0.35">
      <c r="A62" s="25"/>
      <c r="B62" s="25"/>
      <c r="C62" s="25" t="str">
        <f>IF($B62="","",IFERROR(VLOOKUP($B62,Lançamentos!$A$2:$I$1000,5,0),""))</f>
        <v/>
      </c>
      <c r="D62" s="25" t="str">
        <f>IF($B62="","",IFERROR(VLOOKUP($B62,Lançamentos!$A$2:$I$1000,9,0),""))</f>
        <v/>
      </c>
      <c r="E62" s="25" t="str">
        <f>IF($B62="","",IFERROR(IF(VLOOKUP($B62,Lançamentos!$A$2:$R$1000,18,0)="Concluído","🟢 Concluído",IF(VLOOKUP($B62,Lançamentos!$A$2:$R$1000,18,0)="Em andamento","🟡 Em andamento",IF(VLOOKUP($B62,Lançamentos!$A$2:$R$1000,18,0)="Aguardando terceiros","⏸ Aguardando Terceiros",IF(VLOOKUP($B62,Lançamentos!$A$2:$R$1000,18,0)="Não iniciado","⚪ Não iniciado","🟡 Em andamento")))),""))</f>
        <v/>
      </c>
      <c r="F62" s="25"/>
      <c r="G62" s="25"/>
      <c r="H62" s="25"/>
      <c r="I62" s="25"/>
      <c r="J62" s="25"/>
      <c r="K62" s="27"/>
      <c r="L62" s="28"/>
      <c r="M62" s="29" t="str">
        <f t="shared" si="1"/>
        <v/>
      </c>
    </row>
    <row r="63" spans="1:13" x14ac:dyDescent="0.35">
      <c r="A63" s="25"/>
      <c r="B63" s="25"/>
      <c r="C63" s="25" t="str">
        <f>IF($B63="","",IFERROR(VLOOKUP($B63,Lançamentos!$A$2:$I$1000,5,0),""))</f>
        <v/>
      </c>
      <c r="D63" s="25" t="str">
        <f>IF($B63="","",IFERROR(VLOOKUP($B63,Lançamentos!$A$2:$I$1000,9,0),""))</f>
        <v/>
      </c>
      <c r="E63" s="25" t="str">
        <f>IF($B63="","",IFERROR(IF(VLOOKUP($B63,Lançamentos!$A$2:$R$1000,18,0)="Concluído","🟢 Concluído",IF(VLOOKUP($B63,Lançamentos!$A$2:$R$1000,18,0)="Em andamento","🟡 Em andamento",IF(VLOOKUP($B63,Lançamentos!$A$2:$R$1000,18,0)="Aguardando terceiros","⏸ Aguardando Terceiros",IF(VLOOKUP($B63,Lançamentos!$A$2:$R$1000,18,0)="Não iniciado","⚪ Não iniciado","🟡 Em andamento")))),""))</f>
        <v/>
      </c>
      <c r="F63" s="25"/>
      <c r="G63" s="25"/>
      <c r="H63" s="25"/>
      <c r="I63" s="25"/>
      <c r="J63" s="25"/>
      <c r="K63" s="27"/>
      <c r="L63" s="28"/>
      <c r="M63" s="29" t="str">
        <f t="shared" si="1"/>
        <v/>
      </c>
    </row>
    <row r="64" spans="1:13" x14ac:dyDescent="0.35">
      <c r="A64" s="25"/>
      <c r="B64" s="25"/>
      <c r="C64" s="25" t="str">
        <f>IF($B64="","",IFERROR(VLOOKUP($B64,Lançamentos!$A$2:$I$1000,5,0),""))</f>
        <v/>
      </c>
      <c r="D64" s="25" t="str">
        <f>IF($B64="","",IFERROR(VLOOKUP($B64,Lançamentos!$A$2:$I$1000,9,0),""))</f>
        <v/>
      </c>
      <c r="E64" s="25" t="str">
        <f>IF($B64="","",IFERROR(IF(VLOOKUP($B64,Lançamentos!$A$2:$R$1000,18,0)="Concluído","🟢 Concluído",IF(VLOOKUP($B64,Lançamentos!$A$2:$R$1000,18,0)="Em andamento","🟡 Em andamento",IF(VLOOKUP($B64,Lançamentos!$A$2:$R$1000,18,0)="Aguardando terceiros","⏸ Aguardando Terceiros",IF(VLOOKUP($B64,Lançamentos!$A$2:$R$1000,18,0)="Não iniciado","⚪ Não iniciado","🟡 Em andamento")))),""))</f>
        <v/>
      </c>
      <c r="F64" s="25"/>
      <c r="G64" s="25"/>
      <c r="H64" s="25"/>
      <c r="I64" s="25"/>
      <c r="J64" s="25"/>
      <c r="K64" s="27"/>
      <c r="L64" s="28"/>
      <c r="M64" s="29" t="str">
        <f t="shared" si="1"/>
        <v/>
      </c>
    </row>
    <row r="65" spans="1:13" x14ac:dyDescent="0.35">
      <c r="A65" s="25"/>
      <c r="B65" s="25"/>
      <c r="C65" s="25" t="str">
        <f>IF($B65="","",IFERROR(VLOOKUP($B65,Lançamentos!$A$2:$I$1000,5,0),""))</f>
        <v/>
      </c>
      <c r="D65" s="25" t="str">
        <f>IF($B65="","",IFERROR(VLOOKUP($B65,Lançamentos!$A$2:$I$1000,9,0),""))</f>
        <v/>
      </c>
      <c r="E65" s="25" t="str">
        <f>IF($B65="","",IFERROR(IF(VLOOKUP($B65,Lançamentos!$A$2:$R$1000,18,0)="Concluído","🟢 Concluído",IF(VLOOKUP($B65,Lançamentos!$A$2:$R$1000,18,0)="Em andamento","🟡 Em andamento",IF(VLOOKUP($B65,Lançamentos!$A$2:$R$1000,18,0)="Aguardando terceiros","⏸ Aguardando Terceiros",IF(VLOOKUP($B65,Lançamentos!$A$2:$R$1000,18,0)="Não iniciado","⚪ Não iniciado","🟡 Em andamento")))),""))</f>
        <v/>
      </c>
      <c r="F65" s="25"/>
      <c r="G65" s="25"/>
      <c r="H65" s="25"/>
      <c r="I65" s="25"/>
      <c r="J65" s="25"/>
      <c r="K65" s="27"/>
      <c r="L65" s="28"/>
      <c r="M65" s="29" t="str">
        <f t="shared" si="1"/>
        <v/>
      </c>
    </row>
    <row r="66" spans="1:13" x14ac:dyDescent="0.35">
      <c r="A66" s="25"/>
      <c r="B66" s="25"/>
      <c r="C66" s="25" t="str">
        <f>IF($B66="","",IFERROR(VLOOKUP($B66,Lançamentos!$A$2:$I$1000,5,0),""))</f>
        <v/>
      </c>
      <c r="D66" s="25" t="str">
        <f>IF($B66="","",IFERROR(VLOOKUP($B66,Lançamentos!$A$2:$I$1000,9,0),""))</f>
        <v/>
      </c>
      <c r="E66" s="25" t="str">
        <f>IF($B66="","",IFERROR(IF(VLOOKUP($B66,Lançamentos!$A$2:$R$1000,18,0)="Concluído","🟢 Concluído",IF(VLOOKUP($B66,Lançamentos!$A$2:$R$1000,18,0)="Em andamento","🟡 Em andamento",IF(VLOOKUP($B66,Lançamentos!$A$2:$R$1000,18,0)="Aguardando terceiros","⏸ Aguardando Terceiros",IF(VLOOKUP($B66,Lançamentos!$A$2:$R$1000,18,0)="Não iniciado","⚪ Não iniciado","🟡 Em andamento")))),""))</f>
        <v/>
      </c>
      <c r="F66" s="25"/>
      <c r="G66" s="25"/>
      <c r="H66" s="25"/>
      <c r="I66" s="25"/>
      <c r="J66" s="25"/>
      <c r="K66" s="27"/>
      <c r="L66" s="28"/>
      <c r="M66" s="29" t="str">
        <f t="shared" si="1"/>
        <v/>
      </c>
    </row>
    <row r="67" spans="1:13" x14ac:dyDescent="0.35">
      <c r="A67" s="25"/>
      <c r="B67" s="25"/>
      <c r="C67" s="25" t="str">
        <f>IF($B67="","",IFERROR(VLOOKUP($B67,Lançamentos!$A$2:$I$1000,5,0),""))</f>
        <v/>
      </c>
      <c r="D67" s="25" t="str">
        <f>IF($B67="","",IFERROR(VLOOKUP($B67,Lançamentos!$A$2:$I$1000,9,0),""))</f>
        <v/>
      </c>
      <c r="E67" s="25" t="str">
        <f>IF($B67="","",IFERROR(IF(VLOOKUP($B67,Lançamentos!$A$2:$R$1000,18,0)="Concluído","🟢 Concluído",IF(VLOOKUP($B67,Lançamentos!$A$2:$R$1000,18,0)="Em andamento","🟡 Em andamento",IF(VLOOKUP($B67,Lançamentos!$A$2:$R$1000,18,0)="Aguardando terceiros","⏸ Aguardando Terceiros",IF(VLOOKUP($B67,Lançamentos!$A$2:$R$1000,18,0)="Não iniciado","⚪ Não iniciado","🟡 Em andamento")))),""))</f>
        <v/>
      </c>
      <c r="F67" s="25"/>
      <c r="G67" s="25"/>
      <c r="H67" s="25"/>
      <c r="I67" s="25"/>
      <c r="J67" s="25"/>
      <c r="K67" s="27"/>
      <c r="L67" s="28"/>
      <c r="M67" s="29" t="str">
        <f t="shared" si="1"/>
        <v/>
      </c>
    </row>
    <row r="68" spans="1:13" x14ac:dyDescent="0.35">
      <c r="A68" s="25"/>
      <c r="B68" s="25"/>
      <c r="C68" s="25" t="str">
        <f>IF($B68="","",IFERROR(VLOOKUP($B68,Lançamentos!$A$2:$I$1000,5,0),""))</f>
        <v/>
      </c>
      <c r="D68" s="25" t="str">
        <f>IF($B68="","",IFERROR(VLOOKUP($B68,Lançamentos!$A$2:$I$1000,9,0),""))</f>
        <v/>
      </c>
      <c r="E68" s="25" t="str">
        <f>IF($B68="","",IFERROR(IF(VLOOKUP($B68,Lançamentos!$A$2:$R$1000,18,0)="Concluído","🟢 Concluído",IF(VLOOKUP($B68,Lançamentos!$A$2:$R$1000,18,0)="Em andamento","🟡 Em andamento",IF(VLOOKUP($B68,Lançamentos!$A$2:$R$1000,18,0)="Aguardando terceiros","⏸ Aguardando Terceiros",IF(VLOOKUP($B68,Lançamentos!$A$2:$R$1000,18,0)="Não iniciado","⚪ Não iniciado","🟡 Em andamento")))),""))</f>
        <v/>
      </c>
      <c r="F68" s="25"/>
      <c r="G68" s="25"/>
      <c r="H68" s="25"/>
      <c r="I68" s="25"/>
      <c r="J68" s="25"/>
      <c r="K68" s="27"/>
      <c r="L68" s="28"/>
      <c r="M68" s="29" t="str">
        <f t="shared" si="1"/>
        <v/>
      </c>
    </row>
    <row r="69" spans="1:13" x14ac:dyDescent="0.35">
      <c r="A69" s="25"/>
      <c r="B69" s="25"/>
      <c r="C69" s="25" t="str">
        <f>IF($B69="","",IFERROR(VLOOKUP($B69,Lançamentos!$A$2:$I$1000,5,0),""))</f>
        <v/>
      </c>
      <c r="D69" s="25" t="str">
        <f>IF($B69="","",IFERROR(VLOOKUP($B69,Lançamentos!$A$2:$I$1000,9,0),""))</f>
        <v/>
      </c>
      <c r="E69" s="25" t="str">
        <f>IF($B69="","",IFERROR(IF(VLOOKUP($B69,Lançamentos!$A$2:$R$1000,18,0)="Concluído","🟢 Concluído",IF(VLOOKUP($B69,Lançamentos!$A$2:$R$1000,18,0)="Em andamento","🟡 Em andamento",IF(VLOOKUP($B69,Lançamentos!$A$2:$R$1000,18,0)="Aguardando terceiros","⏸ Aguardando Terceiros",IF(VLOOKUP($B69,Lançamentos!$A$2:$R$1000,18,0)="Não iniciado","⚪ Não iniciado","🟡 Em andamento")))),""))</f>
        <v/>
      </c>
      <c r="F69" s="25"/>
      <c r="G69" s="25"/>
      <c r="H69" s="25"/>
      <c r="I69" s="25"/>
      <c r="J69" s="25"/>
      <c r="K69" s="27"/>
      <c r="L69" s="28"/>
      <c r="M69" s="29" t="str">
        <f t="shared" si="1"/>
        <v/>
      </c>
    </row>
    <row r="70" spans="1:13" x14ac:dyDescent="0.35">
      <c r="A70" s="25"/>
      <c r="B70" s="25"/>
      <c r="C70" s="25" t="str">
        <f>IF($B70="","",IFERROR(VLOOKUP($B70,Lançamentos!$A$2:$I$1000,5,0),""))</f>
        <v/>
      </c>
      <c r="D70" s="25" t="str">
        <f>IF($B70="","",IFERROR(VLOOKUP($B70,Lançamentos!$A$2:$I$1000,9,0),""))</f>
        <v/>
      </c>
      <c r="E70" s="25" t="str">
        <f>IF($B70="","",IFERROR(IF(VLOOKUP($B70,Lançamentos!$A$2:$R$1000,18,0)="Concluído","🟢 Concluído",IF(VLOOKUP($B70,Lançamentos!$A$2:$R$1000,18,0)="Em andamento","🟡 Em andamento",IF(VLOOKUP($B70,Lançamentos!$A$2:$R$1000,18,0)="Aguardando terceiros","⏸ Aguardando Terceiros",IF(VLOOKUP($B70,Lançamentos!$A$2:$R$1000,18,0)="Não iniciado","⚪ Não iniciado","🟡 Em andamento")))),""))</f>
        <v/>
      </c>
      <c r="F70" s="25"/>
      <c r="G70" s="25"/>
      <c r="H70" s="25"/>
      <c r="I70" s="25"/>
      <c r="J70" s="25"/>
      <c r="K70" s="27"/>
      <c r="L70" s="28"/>
      <c r="M70" s="29" t="str">
        <f t="shared" si="1"/>
        <v/>
      </c>
    </row>
    <row r="71" spans="1:13" x14ac:dyDescent="0.35">
      <c r="A71" s="25"/>
      <c r="B71" s="25"/>
      <c r="C71" s="25" t="str">
        <f>IF($B71="","",IFERROR(VLOOKUP($B71,Lançamentos!$A$2:$I$1000,5,0),""))</f>
        <v/>
      </c>
      <c r="D71" s="25" t="str">
        <f>IF($B71="","",IFERROR(VLOOKUP($B71,Lançamentos!$A$2:$I$1000,9,0),""))</f>
        <v/>
      </c>
      <c r="E71" s="25" t="str">
        <f>IF($B71="","",IFERROR(IF(VLOOKUP($B71,Lançamentos!$A$2:$R$1000,18,0)="Concluído","🟢 Concluído",IF(VLOOKUP($B71,Lançamentos!$A$2:$R$1000,18,0)="Em andamento","🟡 Em andamento",IF(VLOOKUP($B71,Lançamentos!$A$2:$R$1000,18,0)="Aguardando terceiros","⏸ Aguardando Terceiros",IF(VLOOKUP($B71,Lançamentos!$A$2:$R$1000,18,0)="Não iniciado","⚪ Não iniciado","🟡 Em andamento")))),""))</f>
        <v/>
      </c>
      <c r="F71" s="25"/>
      <c r="G71" s="25"/>
      <c r="H71" s="25"/>
      <c r="I71" s="25"/>
      <c r="J71" s="25"/>
      <c r="K71" s="27"/>
      <c r="L71" s="28"/>
      <c r="M71" s="29" t="str">
        <f t="shared" si="1"/>
        <v/>
      </c>
    </row>
    <row r="72" spans="1:13" x14ac:dyDescent="0.35">
      <c r="A72" s="25"/>
      <c r="B72" s="25"/>
      <c r="C72" s="25" t="str">
        <f>IF($B72="","",IFERROR(VLOOKUP($B72,Lançamentos!$A$2:$I$1000,5,0),""))</f>
        <v/>
      </c>
      <c r="D72" s="25" t="str">
        <f>IF($B72="","",IFERROR(VLOOKUP($B72,Lançamentos!$A$2:$I$1000,9,0),""))</f>
        <v/>
      </c>
      <c r="E72" s="25" t="str">
        <f>IF($B72="","",IFERROR(IF(VLOOKUP($B72,Lançamentos!$A$2:$R$1000,18,0)="Concluído","🟢 Concluído",IF(VLOOKUP($B72,Lançamentos!$A$2:$R$1000,18,0)="Em andamento","🟡 Em andamento",IF(VLOOKUP($B72,Lançamentos!$A$2:$R$1000,18,0)="Aguardando terceiros","⏸ Aguardando Terceiros",IF(VLOOKUP($B72,Lançamentos!$A$2:$R$1000,18,0)="Não iniciado","⚪ Não iniciado","🟡 Em andamento")))),""))</f>
        <v/>
      </c>
      <c r="F72" s="25"/>
      <c r="G72" s="25"/>
      <c r="H72" s="25"/>
      <c r="I72" s="25"/>
      <c r="J72" s="25"/>
      <c r="K72" s="27"/>
      <c r="L72" s="28"/>
      <c r="M72" s="29" t="str">
        <f t="shared" si="1"/>
        <v/>
      </c>
    </row>
    <row r="73" spans="1:13" x14ac:dyDescent="0.35">
      <c r="A73" s="25"/>
      <c r="B73" s="25"/>
      <c r="C73" s="25" t="str">
        <f>IF($B73="","",IFERROR(VLOOKUP($B73,Lançamentos!$A$2:$I$1000,5,0),""))</f>
        <v/>
      </c>
      <c r="D73" s="25" t="str">
        <f>IF($B73="","",IFERROR(VLOOKUP($B73,Lançamentos!$A$2:$I$1000,9,0),""))</f>
        <v/>
      </c>
      <c r="E73" s="25" t="str">
        <f>IF($B73="","",IFERROR(IF(VLOOKUP($B73,Lançamentos!$A$2:$R$1000,18,0)="Concluído","🟢 Concluído",IF(VLOOKUP($B73,Lançamentos!$A$2:$R$1000,18,0)="Em andamento","🟡 Em andamento",IF(VLOOKUP($B73,Lançamentos!$A$2:$R$1000,18,0)="Aguardando terceiros","⏸ Aguardando Terceiros",IF(VLOOKUP($B73,Lançamentos!$A$2:$R$1000,18,0)="Não iniciado","⚪ Não iniciado","🟡 Em andamento")))),""))</f>
        <v/>
      </c>
      <c r="F73" s="25"/>
      <c r="G73" s="25"/>
      <c r="H73" s="25"/>
      <c r="I73" s="25"/>
      <c r="J73" s="25"/>
      <c r="K73" s="27"/>
      <c r="L73" s="28"/>
      <c r="M73" s="29" t="str">
        <f t="shared" si="1"/>
        <v/>
      </c>
    </row>
    <row r="74" spans="1:13" x14ac:dyDescent="0.35">
      <c r="A74" s="25"/>
      <c r="B74" s="25"/>
      <c r="C74" s="25" t="str">
        <f>IF($B74="","",IFERROR(VLOOKUP($B74,Lançamentos!$A$2:$I$1000,5,0),""))</f>
        <v/>
      </c>
      <c r="D74" s="25" t="str">
        <f>IF($B74="","",IFERROR(VLOOKUP($B74,Lançamentos!$A$2:$I$1000,9,0),""))</f>
        <v/>
      </c>
      <c r="E74" s="25" t="str">
        <f>IF($B74="","",IFERROR(IF(VLOOKUP($B74,Lançamentos!$A$2:$R$1000,18,0)="Concluído","🟢 Concluído",IF(VLOOKUP($B74,Lançamentos!$A$2:$R$1000,18,0)="Em andamento","🟡 Em andamento",IF(VLOOKUP($B74,Lançamentos!$A$2:$R$1000,18,0)="Aguardando terceiros","⏸ Aguardando Terceiros",IF(VLOOKUP($B74,Lançamentos!$A$2:$R$1000,18,0)="Não iniciado","⚪ Não iniciado","🟡 Em andamento")))),""))</f>
        <v/>
      </c>
      <c r="F74" s="25"/>
      <c r="G74" s="25"/>
      <c r="H74" s="25"/>
      <c r="I74" s="25"/>
      <c r="J74" s="25"/>
      <c r="K74" s="27"/>
      <c r="L74" s="28"/>
      <c r="M74" s="29" t="str">
        <f t="shared" si="1"/>
        <v/>
      </c>
    </row>
    <row r="75" spans="1:13" x14ac:dyDescent="0.35">
      <c r="A75" s="25"/>
      <c r="B75" s="25"/>
      <c r="C75" s="25" t="str">
        <f>IF($B75="","",IFERROR(VLOOKUP($B75,Lançamentos!$A$2:$I$1000,5,0),""))</f>
        <v/>
      </c>
      <c r="D75" s="25" t="str">
        <f>IF($B75="","",IFERROR(VLOOKUP($B75,Lançamentos!$A$2:$I$1000,9,0),""))</f>
        <v/>
      </c>
      <c r="E75" s="25" t="str">
        <f>IF($B75="","",IFERROR(IF(VLOOKUP($B75,Lançamentos!$A$2:$R$1000,18,0)="Concluído","🟢 Concluído",IF(VLOOKUP($B75,Lançamentos!$A$2:$R$1000,18,0)="Em andamento","🟡 Em andamento",IF(VLOOKUP($B75,Lançamentos!$A$2:$R$1000,18,0)="Aguardando terceiros","⏸ Aguardando Terceiros",IF(VLOOKUP($B75,Lançamentos!$A$2:$R$1000,18,0)="Não iniciado","⚪ Não iniciado","🟡 Em andamento")))),""))</f>
        <v/>
      </c>
      <c r="F75" s="25"/>
      <c r="G75" s="25"/>
      <c r="H75" s="25"/>
      <c r="I75" s="25"/>
      <c r="J75" s="25"/>
      <c r="K75" s="27"/>
      <c r="L75" s="28"/>
      <c r="M75" s="29" t="str">
        <f t="shared" si="1"/>
        <v/>
      </c>
    </row>
    <row r="76" spans="1:13" x14ac:dyDescent="0.35">
      <c r="A76" s="25"/>
      <c r="B76" s="25"/>
      <c r="C76" s="25" t="str">
        <f>IF($B76="","",IFERROR(VLOOKUP($B76,Lançamentos!$A$2:$I$1000,5,0),""))</f>
        <v/>
      </c>
      <c r="D76" s="25" t="str">
        <f>IF($B76="","",IFERROR(VLOOKUP($B76,Lançamentos!$A$2:$I$1000,9,0),""))</f>
        <v/>
      </c>
      <c r="E76" s="25" t="str">
        <f>IF($B76="","",IFERROR(IF(VLOOKUP($B76,Lançamentos!$A$2:$R$1000,18,0)="Concluído","🟢 Concluído",IF(VLOOKUP($B76,Lançamentos!$A$2:$R$1000,18,0)="Em andamento","🟡 Em andamento",IF(VLOOKUP($B76,Lançamentos!$A$2:$R$1000,18,0)="Aguardando terceiros","⏸ Aguardando Terceiros",IF(VLOOKUP($B76,Lançamentos!$A$2:$R$1000,18,0)="Não iniciado","⚪ Não iniciado","🟡 Em andamento")))),""))</f>
        <v/>
      </c>
      <c r="F76" s="25"/>
      <c r="G76" s="25"/>
      <c r="H76" s="25"/>
      <c r="I76" s="25"/>
      <c r="J76" s="25"/>
      <c r="K76" s="27"/>
      <c r="L76" s="28"/>
      <c r="M76" s="29" t="str">
        <f t="shared" si="1"/>
        <v/>
      </c>
    </row>
    <row r="77" spans="1:13" x14ac:dyDescent="0.35">
      <c r="A77" s="25"/>
      <c r="B77" s="25"/>
      <c r="C77" s="25" t="str">
        <f>IF($B77="","",IFERROR(VLOOKUP($B77,Lançamentos!$A$2:$I$1000,5,0),""))</f>
        <v/>
      </c>
      <c r="D77" s="25" t="str">
        <f>IF($B77="","",IFERROR(VLOOKUP($B77,Lançamentos!$A$2:$I$1000,9,0),""))</f>
        <v/>
      </c>
      <c r="E77" s="25" t="str">
        <f>IF($B77="","",IFERROR(IF(VLOOKUP($B77,Lançamentos!$A$2:$R$1000,18,0)="Concluído","🟢 Concluído",IF(VLOOKUP($B77,Lançamentos!$A$2:$R$1000,18,0)="Em andamento","🟡 Em andamento",IF(VLOOKUP($B77,Lançamentos!$A$2:$R$1000,18,0)="Aguardando terceiros","⏸ Aguardando Terceiros",IF(VLOOKUP($B77,Lançamentos!$A$2:$R$1000,18,0)="Não iniciado","⚪ Não iniciado","🟡 Em andamento")))),""))</f>
        <v/>
      </c>
      <c r="F77" s="25"/>
      <c r="G77" s="25"/>
      <c r="H77" s="25"/>
      <c r="I77" s="25"/>
      <c r="J77" s="25"/>
      <c r="K77" s="27"/>
      <c r="L77" s="28"/>
      <c r="M77" s="29" t="str">
        <f t="shared" si="1"/>
        <v/>
      </c>
    </row>
    <row r="78" spans="1:13" x14ac:dyDescent="0.35">
      <c r="A78" s="25"/>
      <c r="B78" s="25"/>
      <c r="C78" s="25" t="str">
        <f>IF($B78="","",IFERROR(VLOOKUP($B78,Lançamentos!$A$2:$I$1000,5,0),""))</f>
        <v/>
      </c>
      <c r="D78" s="25" t="str">
        <f>IF($B78="","",IFERROR(VLOOKUP($B78,Lançamentos!$A$2:$I$1000,9,0),""))</f>
        <v/>
      </c>
      <c r="E78" s="25" t="str">
        <f>IF($B78="","",IFERROR(IF(VLOOKUP($B78,Lançamentos!$A$2:$R$1000,18,0)="Concluído","🟢 Concluído",IF(VLOOKUP($B78,Lançamentos!$A$2:$R$1000,18,0)="Em andamento","🟡 Em andamento",IF(VLOOKUP($B78,Lançamentos!$A$2:$R$1000,18,0)="Aguardando terceiros","⏸ Aguardando Terceiros",IF(VLOOKUP($B78,Lançamentos!$A$2:$R$1000,18,0)="Não iniciado","⚪ Não iniciado","🟡 Em andamento")))),""))</f>
        <v/>
      </c>
      <c r="F78" s="25"/>
      <c r="G78" s="25"/>
      <c r="H78" s="25"/>
      <c r="I78" s="25"/>
      <c r="J78" s="25"/>
      <c r="K78" s="27"/>
      <c r="L78" s="28"/>
      <c r="M78" s="29" t="str">
        <f t="shared" si="1"/>
        <v/>
      </c>
    </row>
    <row r="79" spans="1:13" x14ac:dyDescent="0.35">
      <c r="A79" s="25"/>
      <c r="B79" s="25"/>
      <c r="C79" s="25" t="str">
        <f>IF($B79="","",IFERROR(VLOOKUP($B79,Lançamentos!$A$2:$I$1000,5,0),""))</f>
        <v/>
      </c>
      <c r="D79" s="25" t="str">
        <f>IF($B79="","",IFERROR(VLOOKUP($B79,Lançamentos!$A$2:$I$1000,9,0),""))</f>
        <v/>
      </c>
      <c r="E79" s="25" t="str">
        <f>IF($B79="","",IFERROR(IF(VLOOKUP($B79,Lançamentos!$A$2:$R$1000,18,0)="Concluído","🟢 Concluído",IF(VLOOKUP($B79,Lançamentos!$A$2:$R$1000,18,0)="Em andamento","🟡 Em andamento",IF(VLOOKUP($B79,Lançamentos!$A$2:$R$1000,18,0)="Aguardando terceiros","⏸ Aguardando Terceiros",IF(VLOOKUP($B79,Lançamentos!$A$2:$R$1000,18,0)="Não iniciado","⚪ Não iniciado","🟡 Em andamento")))),""))</f>
        <v/>
      </c>
      <c r="F79" s="25"/>
      <c r="G79" s="25"/>
      <c r="H79" s="25"/>
      <c r="I79" s="25"/>
      <c r="J79" s="25"/>
      <c r="K79" s="27"/>
      <c r="L79" s="28"/>
      <c r="M79" s="29" t="str">
        <f t="shared" si="1"/>
        <v/>
      </c>
    </row>
    <row r="80" spans="1:13" x14ac:dyDescent="0.35">
      <c r="A80" s="25"/>
      <c r="B80" s="25"/>
      <c r="C80" s="25" t="str">
        <f>IF($B80="","",IFERROR(VLOOKUP($B80,Lançamentos!$A$2:$I$1000,5,0),""))</f>
        <v/>
      </c>
      <c r="D80" s="25" t="str">
        <f>IF($B80="","",IFERROR(VLOOKUP($B80,Lançamentos!$A$2:$I$1000,9,0),""))</f>
        <v/>
      </c>
      <c r="E80" s="25" t="str">
        <f>IF($B80="","",IFERROR(IF(VLOOKUP($B80,Lançamentos!$A$2:$R$1000,18,0)="Concluído","🟢 Concluído",IF(VLOOKUP($B80,Lançamentos!$A$2:$R$1000,18,0)="Em andamento","🟡 Em andamento",IF(VLOOKUP($B80,Lançamentos!$A$2:$R$1000,18,0)="Aguardando terceiros","⏸ Aguardando Terceiros",IF(VLOOKUP($B80,Lançamentos!$A$2:$R$1000,18,0)="Não iniciado","⚪ Não iniciado","🟡 Em andamento")))),""))</f>
        <v/>
      </c>
      <c r="F80" s="25"/>
      <c r="G80" s="25"/>
      <c r="H80" s="25"/>
      <c r="I80" s="25"/>
      <c r="J80" s="25"/>
      <c r="K80" s="27"/>
      <c r="L80" s="28"/>
      <c r="M80" s="29" t="str">
        <f t="shared" si="1"/>
        <v/>
      </c>
    </row>
    <row r="81" spans="1:15" x14ac:dyDescent="0.35">
      <c r="A81" s="25"/>
      <c r="B81" s="25"/>
      <c r="C81" s="25" t="str">
        <f>IF($B81="","",IFERROR(VLOOKUP($B81,Lançamentos!$A$2:$I$1000,5,0),""))</f>
        <v/>
      </c>
      <c r="D81" s="25" t="str">
        <f>IF($B81="","",IFERROR(VLOOKUP($B81,Lançamentos!$A$2:$I$1000,9,0),""))</f>
        <v/>
      </c>
      <c r="E81" s="25" t="str">
        <f>IF($B81="","",IFERROR(IF(VLOOKUP($B81,Lançamentos!$A$2:$R$1000,18,0)="Concluído","🟢 Concluído",IF(VLOOKUP($B81,Lançamentos!$A$2:$R$1000,18,0)="Em andamento","🟡 Em andamento",IF(VLOOKUP($B81,Lançamentos!$A$2:$R$1000,18,0)="Aguardando terceiros","⏸ Aguardando Terceiros",IF(VLOOKUP($B81,Lançamentos!$A$2:$R$1000,18,0)="Não iniciado","⚪ Não iniciado","🟡 Em andamento")))),""))</f>
        <v/>
      </c>
      <c r="F81" s="25"/>
      <c r="G81" s="25"/>
      <c r="H81" s="25"/>
      <c r="I81" s="25"/>
      <c r="J81" s="25"/>
      <c r="K81" s="27"/>
      <c r="L81" s="28"/>
      <c r="M81" s="29" t="str">
        <f t="shared" si="1"/>
        <v/>
      </c>
    </row>
    <row r="82" spans="1:15" x14ac:dyDescent="0.35">
      <c r="A82" s="25"/>
      <c r="B82" s="25"/>
      <c r="C82" s="25" t="str">
        <f>IF($B82="","",IFERROR(VLOOKUP($B82,Lançamentos!$A$2:$I$1000,5,0),""))</f>
        <v/>
      </c>
      <c r="D82" s="25" t="str">
        <f>IF($B82="","",IFERROR(VLOOKUP($B82,Lançamentos!$A$2:$I$1000,9,0),""))</f>
        <v/>
      </c>
      <c r="E82" s="25" t="str">
        <f>IF($B82="","",IFERROR(IF(VLOOKUP($B82,Lançamentos!$A$2:$R$1000,18,0)="Concluído","🟢 Concluído",IF(VLOOKUP($B82,Lançamentos!$A$2:$R$1000,18,0)="Em andamento","🟡 Em andamento",IF(VLOOKUP($B82,Lançamentos!$A$2:$R$1000,18,0)="Aguardando terceiros","⏸ Aguardando Terceiros",IF(VLOOKUP($B82,Lançamentos!$A$2:$R$1000,18,0)="Não iniciado","⚪ Não iniciado","🟡 Em andamento")))),""))</f>
        <v/>
      </c>
      <c r="F82" s="25"/>
      <c r="G82" s="25"/>
      <c r="H82" s="25"/>
      <c r="I82" s="25"/>
      <c r="J82" s="25"/>
      <c r="K82" s="27"/>
      <c r="L82" s="28"/>
      <c r="M82" s="29" t="str">
        <f t="shared" si="1"/>
        <v/>
      </c>
    </row>
    <row r="83" spans="1:15" x14ac:dyDescent="0.35">
      <c r="A83" s="25"/>
      <c r="B83" s="25"/>
      <c r="C83" s="25" t="str">
        <f>IF($B83="","",IFERROR(VLOOKUP($B83,Lançamentos!$A$2:$I$1000,5,0),""))</f>
        <v/>
      </c>
      <c r="D83" s="25" t="str">
        <f>IF($B83="","",IFERROR(VLOOKUP($B83,Lançamentos!$A$2:$I$1000,9,0),""))</f>
        <v/>
      </c>
      <c r="E83" s="25" t="str">
        <f>IF($B83="","",IFERROR(IF(VLOOKUP($B83,Lançamentos!$A$2:$R$1000,18,0)="Concluído","🟢 Concluído",IF(VLOOKUP($B83,Lançamentos!$A$2:$R$1000,18,0)="Em andamento","🟡 Em andamento",IF(VLOOKUP($B83,Lançamentos!$A$2:$R$1000,18,0)="Aguardando terceiros","⏸ Aguardando Terceiros",IF(VLOOKUP($B83,Lançamentos!$A$2:$R$1000,18,0)="Não iniciado","⚪ Não iniciado","🟡 Em andamento")))),""))</f>
        <v/>
      </c>
      <c r="F83" s="25"/>
      <c r="G83" s="25"/>
      <c r="H83" s="25"/>
      <c r="I83" s="25"/>
      <c r="J83" s="25"/>
      <c r="K83" s="27"/>
      <c r="L83" s="28"/>
      <c r="M83" s="29" t="str">
        <f t="shared" si="1"/>
        <v/>
      </c>
    </row>
    <row r="84" spans="1:15" x14ac:dyDescent="0.35">
      <c r="A84" s="25"/>
      <c r="B84" s="25"/>
      <c r="C84" s="25" t="str">
        <f>IF($B84="","",IFERROR(VLOOKUP($B84,Lançamentos!$A$2:$I$1000,5,0),""))</f>
        <v/>
      </c>
      <c r="D84" s="25" t="str">
        <f>IF($B84="","",IFERROR(VLOOKUP($B84,Lançamentos!$A$2:$I$1000,9,0),""))</f>
        <v/>
      </c>
      <c r="E84" s="25" t="str">
        <f>IF($B84="","",IFERROR(IF(VLOOKUP($B84,Lançamentos!$A$2:$R$1000,18,0)="Concluído","🟢 Concluído",IF(VLOOKUP($B84,Lançamentos!$A$2:$R$1000,18,0)="Em andamento","🟡 Em andamento",IF(VLOOKUP($B84,Lançamentos!$A$2:$R$1000,18,0)="Aguardando terceiros","⏸ Aguardando Terceiros",IF(VLOOKUP($B84,Lançamentos!$A$2:$R$1000,18,0)="Não iniciado","⚪ Não iniciado","🟡 Em andamento")))),""))</f>
        <v/>
      </c>
      <c r="F84" s="25"/>
      <c r="G84" s="25"/>
      <c r="H84" s="25"/>
      <c r="I84" s="25"/>
      <c r="J84" s="25"/>
      <c r="K84" s="27"/>
      <c r="L84" s="28"/>
      <c r="M84" s="29" t="str">
        <f t="shared" si="1"/>
        <v/>
      </c>
    </row>
    <row r="86" spans="1:15" ht="19.5" customHeight="1" x14ac:dyDescent="0.35">
      <c r="A86" s="12" t="s">
        <v>117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5" x14ac:dyDescent="0.35">
      <c r="A87" s="30" t="s">
        <v>99</v>
      </c>
      <c r="B87" s="30" t="s">
        <v>32</v>
      </c>
      <c r="C87" s="30" t="s">
        <v>100</v>
      </c>
      <c r="D87" s="30" t="s">
        <v>118</v>
      </c>
      <c r="E87" s="30" t="s">
        <v>119</v>
      </c>
    </row>
    <row r="88" spans="1:15" x14ac:dyDescent="0.35">
      <c r="A88" s="25" t="str">
        <f>IF($O88="","",INDEX(Lançamentos!$A:$A,$O88))</f>
        <v/>
      </c>
      <c r="B88" s="25" t="str">
        <f>IF($O88="","",INDEX(Lançamentos!$E:$E,$O88))</f>
        <v/>
      </c>
      <c r="C88" s="25" t="str">
        <f>IF($O88="","",INDEX(Lançamentos!$I:$I,$O88))</f>
        <v/>
      </c>
      <c r="D88" s="31" t="str">
        <f>IF($O88="","",INDEX(Lançamentos!$S:$S,$O88))</f>
        <v/>
      </c>
      <c r="E88" s="4" t="str">
        <f>IF($O88="","",INDEX(Lançamentos!$X:$X,$O88))</f>
        <v/>
      </c>
      <c r="F88" s="4"/>
      <c r="G88" s="4"/>
      <c r="H88" s="4"/>
      <c r="I88" s="4"/>
      <c r="J88" s="4"/>
      <c r="K88" s="4"/>
      <c r="O88" s="17" t="str">
        <f>IFERROR(_xlfn.AGGREGATE(15,6,ROW(Lançamentos!$R$2:$R$1000)/((Lançamentos!$R$2:$R$1000="Concluído")*(Lançamentos!$C$2:$C$1000&gt;=$B$6)*(Lançamentos!$C$2:$C$1000&lt;=$D$6)),1),"")</f>
        <v/>
      </c>
    </row>
    <row r="89" spans="1:15" x14ac:dyDescent="0.35">
      <c r="A89" s="25" t="str">
        <f>IF($O89="","",INDEX(Lançamentos!$A:$A,$O89))</f>
        <v/>
      </c>
      <c r="B89" s="25" t="str">
        <f>IF($O89="","",INDEX(Lançamentos!$E:$E,$O89))</f>
        <v/>
      </c>
      <c r="C89" s="25" t="str">
        <f>IF($O89="","",INDEX(Lançamentos!$I:$I,$O89))</f>
        <v/>
      </c>
      <c r="D89" s="31" t="str">
        <f>IF($O89="","",INDEX(Lançamentos!$S:$S,$O89))</f>
        <v/>
      </c>
      <c r="E89" s="4" t="str">
        <f>IF($O89="","",INDEX(Lançamentos!$X:$X,$O89))</f>
        <v/>
      </c>
      <c r="F89" s="4"/>
      <c r="G89" s="4"/>
      <c r="H89" s="4"/>
      <c r="I89" s="4"/>
      <c r="J89" s="4"/>
      <c r="K89" s="4"/>
      <c r="O89" s="17" t="str">
        <f>IFERROR(_xlfn.AGGREGATE(15,6,ROW(Lançamentos!$R$2:$R$1000)/((Lançamentos!$R$2:$R$1000="Concluído")*(Lançamentos!$C$2:$C$1000&gt;=$B$6)*(Lançamentos!$C$2:$C$1000&lt;=$D$6)),2),"")</f>
        <v/>
      </c>
    </row>
    <row r="90" spans="1:15" x14ac:dyDescent="0.35">
      <c r="A90" s="25" t="str">
        <f>IF($O90="","",INDEX(Lançamentos!$A:$A,$O90))</f>
        <v/>
      </c>
      <c r="B90" s="25" t="str">
        <f>IF($O90="","",INDEX(Lançamentos!$E:$E,$O90))</f>
        <v/>
      </c>
      <c r="C90" s="25" t="str">
        <f>IF($O90="","",INDEX(Lançamentos!$I:$I,$O90))</f>
        <v/>
      </c>
      <c r="D90" s="31" t="str">
        <f>IF($O90="","",INDEX(Lançamentos!$S:$S,$O90))</f>
        <v/>
      </c>
      <c r="E90" s="4" t="str">
        <f>IF($O90="","",INDEX(Lançamentos!$X:$X,$O90))</f>
        <v/>
      </c>
      <c r="F90" s="4"/>
      <c r="G90" s="4"/>
      <c r="H90" s="4"/>
      <c r="I90" s="4"/>
      <c r="J90" s="4"/>
      <c r="K90" s="4"/>
      <c r="O90" s="17" t="str">
        <f>IFERROR(_xlfn.AGGREGATE(15,6,ROW(Lançamentos!$R$2:$R$1000)/((Lançamentos!$R$2:$R$1000="Concluído")*(Lançamentos!$C$2:$C$1000&gt;=$B$6)*(Lançamentos!$C$2:$C$1000&lt;=$D$6)),3),"")</f>
        <v/>
      </c>
    </row>
    <row r="91" spans="1:15" x14ac:dyDescent="0.35">
      <c r="A91" s="25" t="str">
        <f>IF($O91="","",INDEX(Lançamentos!$A:$A,$O91))</f>
        <v/>
      </c>
      <c r="B91" s="25" t="str">
        <f>IF($O91="","",INDEX(Lançamentos!$E:$E,$O91))</f>
        <v/>
      </c>
      <c r="C91" s="25" t="str">
        <f>IF($O91="","",INDEX(Lançamentos!$I:$I,$O91))</f>
        <v/>
      </c>
      <c r="D91" s="31" t="str">
        <f>IF($O91="","",INDEX(Lançamentos!$S:$S,$O91))</f>
        <v/>
      </c>
      <c r="E91" s="4" t="str">
        <f>IF($O91="","",INDEX(Lançamentos!$X:$X,$O91))</f>
        <v/>
      </c>
      <c r="F91" s="4"/>
      <c r="G91" s="4"/>
      <c r="H91" s="4"/>
      <c r="I91" s="4"/>
      <c r="J91" s="4"/>
      <c r="K91" s="4"/>
      <c r="O91" s="17" t="str">
        <f>IFERROR(_xlfn.AGGREGATE(15,6,ROW(Lançamentos!$R$2:$R$1000)/((Lançamentos!$R$2:$R$1000="Concluído")*(Lançamentos!$C$2:$C$1000&gt;=$B$6)*(Lançamentos!$C$2:$C$1000&lt;=$D$6)),4),"")</f>
        <v/>
      </c>
    </row>
    <row r="92" spans="1:15" x14ac:dyDescent="0.35">
      <c r="A92" s="25" t="str">
        <f>IF($O92="","",INDEX(Lançamentos!$A:$A,$O92))</f>
        <v/>
      </c>
      <c r="B92" s="25" t="str">
        <f>IF($O92="","",INDEX(Lançamentos!$E:$E,$O92))</f>
        <v/>
      </c>
      <c r="C92" s="25" t="str">
        <f>IF($O92="","",INDEX(Lançamentos!$I:$I,$O92))</f>
        <v/>
      </c>
      <c r="D92" s="31" t="str">
        <f>IF($O92="","",INDEX(Lançamentos!$S:$S,$O92))</f>
        <v/>
      </c>
      <c r="E92" s="4" t="str">
        <f>IF($O92="","",INDEX(Lançamentos!$X:$X,$O92))</f>
        <v/>
      </c>
      <c r="F92" s="4"/>
      <c r="G92" s="4"/>
      <c r="H92" s="4"/>
      <c r="I92" s="4"/>
      <c r="J92" s="4"/>
      <c r="K92" s="4"/>
      <c r="O92" s="17" t="str">
        <f>IFERROR(_xlfn.AGGREGATE(15,6,ROW(Lançamentos!$R$2:$R$1000)/((Lançamentos!$R$2:$R$1000="Concluído")*(Lançamentos!$C$2:$C$1000&gt;=$B$6)*(Lançamentos!$C$2:$C$1000&lt;=$D$6)),5),"")</f>
        <v/>
      </c>
    </row>
    <row r="93" spans="1:15" x14ac:dyDescent="0.35">
      <c r="A93" s="25" t="str">
        <f>IF($O93="","",INDEX(Lançamentos!$A:$A,$O93))</f>
        <v/>
      </c>
      <c r="B93" s="25" t="str">
        <f>IF($O93="","",INDEX(Lançamentos!$E:$E,$O93))</f>
        <v/>
      </c>
      <c r="C93" s="25" t="str">
        <f>IF($O93="","",INDEX(Lançamentos!$I:$I,$O93))</f>
        <v/>
      </c>
      <c r="D93" s="31" t="str">
        <f>IF($O93="","",INDEX(Lançamentos!$S:$S,$O93))</f>
        <v/>
      </c>
      <c r="E93" s="4" t="str">
        <f>IF($O93="","",INDEX(Lançamentos!$X:$X,$O93))</f>
        <v/>
      </c>
      <c r="F93" s="4"/>
      <c r="G93" s="4"/>
      <c r="H93" s="4"/>
      <c r="I93" s="4"/>
      <c r="J93" s="4"/>
      <c r="K93" s="4"/>
      <c r="O93" s="17" t="str">
        <f>IFERROR(_xlfn.AGGREGATE(15,6,ROW(Lançamentos!$R$2:$R$1000)/((Lançamentos!$R$2:$R$1000="Concluído")*(Lançamentos!$C$2:$C$1000&gt;=$B$6)*(Lançamentos!$C$2:$C$1000&lt;=$D$6)),6),"")</f>
        <v/>
      </c>
    </row>
    <row r="94" spans="1:15" x14ac:dyDescent="0.35">
      <c r="A94" s="25" t="str">
        <f>IF($O94="","",INDEX(Lançamentos!$A:$A,$O94))</f>
        <v/>
      </c>
      <c r="B94" s="25" t="str">
        <f>IF($O94="","",INDEX(Lançamentos!$E:$E,$O94))</f>
        <v/>
      </c>
      <c r="C94" s="25" t="str">
        <f>IF($O94="","",INDEX(Lançamentos!$I:$I,$O94))</f>
        <v/>
      </c>
      <c r="D94" s="31" t="str">
        <f>IF($O94="","",INDEX(Lançamentos!$S:$S,$O94))</f>
        <v/>
      </c>
      <c r="E94" s="4" t="str">
        <f>IF($O94="","",INDEX(Lançamentos!$X:$X,$O94))</f>
        <v/>
      </c>
      <c r="F94" s="4"/>
      <c r="G94" s="4"/>
      <c r="H94" s="4"/>
      <c r="I94" s="4"/>
      <c r="J94" s="4"/>
      <c r="K94" s="4"/>
      <c r="O94" s="17" t="str">
        <f>IFERROR(_xlfn.AGGREGATE(15,6,ROW(Lançamentos!$R$2:$R$1000)/((Lançamentos!$R$2:$R$1000="Concluído")*(Lançamentos!$C$2:$C$1000&gt;=$B$6)*(Lançamentos!$C$2:$C$1000&lt;=$D$6)),7),"")</f>
        <v/>
      </c>
    </row>
    <row r="95" spans="1:15" x14ac:dyDescent="0.35">
      <c r="A95" s="25" t="str">
        <f>IF($O95="","",INDEX(Lançamentos!$A:$A,$O95))</f>
        <v/>
      </c>
      <c r="B95" s="25" t="str">
        <f>IF($O95="","",INDEX(Lançamentos!$E:$E,$O95))</f>
        <v/>
      </c>
      <c r="C95" s="25" t="str">
        <f>IF($O95="","",INDEX(Lançamentos!$I:$I,$O95))</f>
        <v/>
      </c>
      <c r="D95" s="31" t="str">
        <f>IF($O95="","",INDEX(Lançamentos!$S:$S,$O95))</f>
        <v/>
      </c>
      <c r="E95" s="4" t="str">
        <f>IF($O95="","",INDEX(Lançamentos!$X:$X,$O95))</f>
        <v/>
      </c>
      <c r="F95" s="4"/>
      <c r="G95" s="4"/>
      <c r="H95" s="4"/>
      <c r="I95" s="4"/>
      <c r="J95" s="4"/>
      <c r="K95" s="4"/>
      <c r="O95" s="17" t="str">
        <f>IFERROR(_xlfn.AGGREGATE(15,6,ROW(Lançamentos!$R$2:$R$1000)/((Lançamentos!$R$2:$R$1000="Concluído")*(Lançamentos!$C$2:$C$1000&gt;=$B$6)*(Lançamentos!$C$2:$C$1000&lt;=$D$6)),8),"")</f>
        <v/>
      </c>
    </row>
    <row r="96" spans="1:15" x14ac:dyDescent="0.35">
      <c r="A96" s="25" t="str">
        <f>IF($O96="","",INDEX(Lançamentos!$A:$A,$O96))</f>
        <v/>
      </c>
      <c r="B96" s="25" t="str">
        <f>IF($O96="","",INDEX(Lançamentos!$E:$E,$O96))</f>
        <v/>
      </c>
      <c r="C96" s="25" t="str">
        <f>IF($O96="","",INDEX(Lançamentos!$I:$I,$O96))</f>
        <v/>
      </c>
      <c r="D96" s="31" t="str">
        <f>IF($O96="","",INDEX(Lançamentos!$S:$S,$O96))</f>
        <v/>
      </c>
      <c r="E96" s="4" t="str">
        <f>IF($O96="","",INDEX(Lançamentos!$X:$X,$O96))</f>
        <v/>
      </c>
      <c r="F96" s="4"/>
      <c r="G96" s="4"/>
      <c r="H96" s="4"/>
      <c r="I96" s="4"/>
      <c r="J96" s="4"/>
      <c r="K96" s="4"/>
      <c r="O96" s="17" t="str">
        <f>IFERROR(_xlfn.AGGREGATE(15,6,ROW(Lançamentos!$R$2:$R$1000)/((Lançamentos!$R$2:$R$1000="Concluído")*(Lançamentos!$C$2:$C$1000&gt;=$B$6)*(Lançamentos!$C$2:$C$1000&lt;=$D$6)),9),"")</f>
        <v/>
      </c>
    </row>
    <row r="97" spans="1:15" x14ac:dyDescent="0.35">
      <c r="A97" s="25" t="str">
        <f>IF($O97="","",INDEX(Lançamentos!$A:$A,$O97))</f>
        <v/>
      </c>
      <c r="B97" s="25" t="str">
        <f>IF($O97="","",INDEX(Lançamentos!$E:$E,$O97))</f>
        <v/>
      </c>
      <c r="C97" s="25" t="str">
        <f>IF($O97="","",INDEX(Lançamentos!$I:$I,$O97))</f>
        <v/>
      </c>
      <c r="D97" s="31" t="str">
        <f>IF($O97="","",INDEX(Lançamentos!$S:$S,$O97))</f>
        <v/>
      </c>
      <c r="E97" s="4" t="str">
        <f>IF($O97="","",INDEX(Lançamentos!$X:$X,$O97))</f>
        <v/>
      </c>
      <c r="F97" s="4"/>
      <c r="G97" s="4"/>
      <c r="H97" s="4"/>
      <c r="I97" s="4"/>
      <c r="J97" s="4"/>
      <c r="K97" s="4"/>
      <c r="O97" s="17" t="str">
        <f>IFERROR(_xlfn.AGGREGATE(15,6,ROW(Lançamentos!$R$2:$R$1000)/((Lançamentos!$R$2:$R$1000="Concluído")*(Lançamentos!$C$2:$C$1000&gt;=$B$6)*(Lançamentos!$C$2:$C$1000&lt;=$D$6)),10),"")</f>
        <v/>
      </c>
    </row>
    <row r="99" spans="1:15" ht="19.5" customHeight="1" x14ac:dyDescent="0.35">
      <c r="A99" s="12" t="s">
        <v>120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5" x14ac:dyDescent="0.35">
      <c r="A100" s="3" t="s">
        <v>121</v>
      </c>
      <c r="B100" s="3"/>
      <c r="C100" s="3"/>
      <c r="D100" s="3"/>
      <c r="E100" s="30" t="s">
        <v>122</v>
      </c>
      <c r="F100" s="3" t="s">
        <v>62</v>
      </c>
      <c r="G100" s="3"/>
      <c r="H100" s="30" t="s">
        <v>123</v>
      </c>
    </row>
    <row r="101" spans="1:15" x14ac:dyDescent="0.35">
      <c r="A101" s="2"/>
      <c r="B101" s="2"/>
      <c r="C101" s="2"/>
      <c r="D101" s="2"/>
      <c r="E101" s="25"/>
      <c r="F101" s="2"/>
      <c r="G101" s="2"/>
      <c r="H101" s="27"/>
    </row>
    <row r="102" spans="1:15" x14ac:dyDescent="0.35">
      <c r="A102" s="2"/>
      <c r="B102" s="2"/>
      <c r="C102" s="2"/>
      <c r="D102" s="2"/>
      <c r="E102" s="25"/>
      <c r="F102" s="2"/>
      <c r="G102" s="2"/>
      <c r="H102" s="27"/>
    </row>
    <row r="103" spans="1:15" x14ac:dyDescent="0.35">
      <c r="A103" s="2"/>
      <c r="B103" s="2"/>
      <c r="C103" s="2"/>
      <c r="D103" s="2"/>
      <c r="E103" s="25"/>
      <c r="F103" s="2"/>
      <c r="G103" s="2"/>
      <c r="H103" s="27"/>
    </row>
    <row r="104" spans="1:15" x14ac:dyDescent="0.35">
      <c r="A104" s="2"/>
      <c r="B104" s="2"/>
      <c r="C104" s="2"/>
      <c r="D104" s="2"/>
      <c r="E104" s="25"/>
      <c r="F104" s="2"/>
      <c r="G104" s="2"/>
      <c r="H104" s="27"/>
    </row>
    <row r="105" spans="1:15" x14ac:dyDescent="0.35">
      <c r="A105" s="2"/>
      <c r="B105" s="2"/>
      <c r="C105" s="2"/>
      <c r="D105" s="2"/>
      <c r="E105" s="25"/>
      <c r="F105" s="2"/>
      <c r="G105" s="2"/>
      <c r="H105" s="27"/>
    </row>
    <row r="107" spans="1:15" ht="19.5" customHeight="1" x14ac:dyDescent="0.35">
      <c r="A107" s="12" t="s">
        <v>124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5" x14ac:dyDescent="0.35">
      <c r="A108" s="3" t="s">
        <v>125</v>
      </c>
      <c r="B108" s="3"/>
      <c r="C108" s="3"/>
      <c r="D108" s="3"/>
      <c r="E108" s="30" t="s">
        <v>126</v>
      </c>
      <c r="F108" s="30" t="s">
        <v>127</v>
      </c>
      <c r="G108" s="30" t="s">
        <v>128</v>
      </c>
    </row>
    <row r="109" spans="1:15" x14ac:dyDescent="0.35">
      <c r="A109" s="2"/>
      <c r="B109" s="2"/>
      <c r="C109" s="2"/>
      <c r="D109" s="2"/>
      <c r="E109" s="25"/>
      <c r="F109" s="25"/>
      <c r="G109" s="27"/>
    </row>
    <row r="110" spans="1:15" x14ac:dyDescent="0.35">
      <c r="A110" s="2"/>
      <c r="B110" s="2"/>
      <c r="C110" s="2"/>
      <c r="D110" s="2"/>
      <c r="E110" s="25"/>
      <c r="F110" s="25"/>
      <c r="G110" s="27"/>
    </row>
    <row r="111" spans="1:15" x14ac:dyDescent="0.35">
      <c r="A111" s="2"/>
      <c r="B111" s="2"/>
      <c r="C111" s="2"/>
      <c r="D111" s="2"/>
      <c r="E111" s="25"/>
      <c r="F111" s="25"/>
      <c r="G111" s="27"/>
    </row>
    <row r="112" spans="1:15" x14ac:dyDescent="0.35">
      <c r="A112" s="2"/>
      <c r="B112" s="2"/>
      <c r="C112" s="2"/>
      <c r="D112" s="2"/>
      <c r="E112" s="25"/>
      <c r="F112" s="25"/>
      <c r="G112" s="27"/>
    </row>
    <row r="113" spans="1:11" x14ac:dyDescent="0.35">
      <c r="A113" s="2"/>
      <c r="B113" s="2"/>
      <c r="C113" s="2"/>
      <c r="D113" s="2"/>
      <c r="E113" s="25"/>
      <c r="F113" s="25"/>
      <c r="G113" s="27"/>
    </row>
    <row r="115" spans="1:11" ht="19.5" customHeight="1" x14ac:dyDescent="0.35">
      <c r="A115" s="12" t="s">
        <v>129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 x14ac:dyDescent="0.35">
      <c r="A116" s="3" t="s">
        <v>130</v>
      </c>
      <c r="B116" s="3"/>
      <c r="C116" s="3"/>
      <c r="D116" s="3"/>
      <c r="E116" s="3"/>
      <c r="F116" s="30" t="s">
        <v>62</v>
      </c>
      <c r="G116" s="30" t="s">
        <v>131</v>
      </c>
    </row>
    <row r="117" spans="1:11" x14ac:dyDescent="0.35">
      <c r="A117" s="2"/>
      <c r="B117" s="2"/>
      <c r="C117" s="2"/>
      <c r="D117" s="2"/>
      <c r="E117" s="2"/>
      <c r="F117" s="25"/>
      <c r="G117" s="25"/>
    </row>
    <row r="118" spans="1:11" x14ac:dyDescent="0.35">
      <c r="A118" s="2"/>
      <c r="B118" s="2"/>
      <c r="C118" s="2"/>
      <c r="D118" s="2"/>
      <c r="E118" s="2"/>
      <c r="F118" s="25"/>
      <c r="G118" s="25"/>
    </row>
    <row r="119" spans="1:11" x14ac:dyDescent="0.35">
      <c r="A119" s="2"/>
      <c r="B119" s="2"/>
      <c r="C119" s="2"/>
      <c r="D119" s="2"/>
      <c r="E119" s="2"/>
      <c r="F119" s="25"/>
      <c r="G119" s="25"/>
    </row>
    <row r="120" spans="1:11" x14ac:dyDescent="0.35">
      <c r="A120" s="2"/>
      <c r="B120" s="2"/>
      <c r="C120" s="2"/>
      <c r="D120" s="2"/>
      <c r="E120" s="2"/>
      <c r="F120" s="25"/>
      <c r="G120" s="25"/>
    </row>
    <row r="122" spans="1:11" ht="19.5" customHeight="1" x14ac:dyDescent="0.35">
      <c r="A122" s="12" t="s">
        <v>132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 x14ac:dyDescent="0.35">
      <c r="A123" s="3" t="s">
        <v>100</v>
      </c>
      <c r="B123" s="3"/>
      <c r="C123" s="3"/>
      <c r="D123" s="3"/>
      <c r="E123" s="30" t="s">
        <v>32</v>
      </c>
      <c r="F123" s="30" t="s">
        <v>123</v>
      </c>
      <c r="G123" s="3" t="s">
        <v>133</v>
      </c>
      <c r="H123" s="3"/>
      <c r="I123" s="30" t="s">
        <v>131</v>
      </c>
    </row>
    <row r="124" spans="1:11" x14ac:dyDescent="0.35">
      <c r="A124" s="2"/>
      <c r="B124" s="2"/>
      <c r="C124" s="2"/>
      <c r="D124" s="2"/>
      <c r="E124" s="25"/>
      <c r="F124" s="27"/>
      <c r="G124" s="2"/>
      <c r="H124" s="2"/>
      <c r="I124" s="25"/>
    </row>
    <row r="125" spans="1:11" x14ac:dyDescent="0.35">
      <c r="A125" s="2"/>
      <c r="B125" s="2"/>
      <c r="C125" s="2"/>
      <c r="D125" s="2"/>
      <c r="E125" s="25"/>
      <c r="F125" s="27"/>
      <c r="G125" s="2"/>
      <c r="H125" s="2"/>
      <c r="I125" s="25"/>
    </row>
    <row r="126" spans="1:11" x14ac:dyDescent="0.35">
      <c r="A126" s="2"/>
      <c r="B126" s="2"/>
      <c r="C126" s="2"/>
      <c r="D126" s="2"/>
      <c r="E126" s="25"/>
      <c r="F126" s="27"/>
      <c r="G126" s="2"/>
      <c r="H126" s="2"/>
      <c r="I126" s="25"/>
    </row>
    <row r="127" spans="1:11" x14ac:dyDescent="0.35">
      <c r="A127" s="2"/>
      <c r="B127" s="2"/>
      <c r="C127" s="2"/>
      <c r="D127" s="2"/>
      <c r="E127" s="25"/>
      <c r="F127" s="27"/>
      <c r="G127" s="2"/>
      <c r="H127" s="2"/>
      <c r="I127" s="25"/>
    </row>
    <row r="128" spans="1:11" x14ac:dyDescent="0.35">
      <c r="A128" s="2"/>
      <c r="B128" s="2"/>
      <c r="C128" s="2"/>
      <c r="D128" s="2"/>
      <c r="E128" s="25"/>
      <c r="F128" s="27"/>
      <c r="G128" s="2"/>
      <c r="H128" s="2"/>
      <c r="I128" s="25"/>
    </row>
    <row r="129" spans="1:11" x14ac:dyDescent="0.35">
      <c r="A129" s="2"/>
      <c r="B129" s="2"/>
      <c r="C129" s="2"/>
      <c r="D129" s="2"/>
      <c r="E129" s="25"/>
      <c r="F129" s="27"/>
      <c r="G129" s="2"/>
      <c r="H129" s="2"/>
      <c r="I129" s="25"/>
    </row>
    <row r="131" spans="1:11" ht="19.5" customHeight="1" x14ac:dyDescent="0.35">
      <c r="A131" s="12" t="s">
        <v>134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 x14ac:dyDescent="0.35">
      <c r="A132" s="1" t="s">
        <v>135</v>
      </c>
      <c r="B132" s="1"/>
      <c r="C132" s="1"/>
      <c r="D132" s="29">
        <f>COUNTIFS(Lançamentos!$R$2:$R$1000,"Concluído",Lançamentos!$C$2:$C$1000,"&gt;="&amp;$B$6,Lançamentos!$C$2:$C$1000,"&lt;="&amp;$D$6)</f>
        <v>0</v>
      </c>
    </row>
    <row r="133" spans="1:11" x14ac:dyDescent="0.35">
      <c r="A133" s="1" t="s">
        <v>136</v>
      </c>
      <c r="B133" s="1"/>
      <c r="C133" s="1"/>
      <c r="D133" s="29">
        <f>COUNTIF(Lançamentos!$R$2:$R$1000,"Em andamento")</f>
        <v>0</v>
      </c>
    </row>
    <row r="134" spans="1:11" x14ac:dyDescent="0.35">
      <c r="A134" s="1" t="s">
        <v>137</v>
      </c>
      <c r="B134" s="1"/>
      <c r="C134" s="1"/>
      <c r="D134" s="29">
        <f>COUNTIF($E$45:$E$84,"🔴 Bloqueado")</f>
        <v>0</v>
      </c>
    </row>
    <row r="135" spans="1:11" x14ac:dyDescent="0.35">
      <c r="A135" s="1" t="s">
        <v>138</v>
      </c>
      <c r="B135" s="1"/>
      <c r="C135" s="1"/>
      <c r="D135" s="29">
        <f>COUNTIF(Lançamentos!$R$2:$R$1000,"Aguardando terceiros")</f>
        <v>0</v>
      </c>
    </row>
    <row r="136" spans="1:11" x14ac:dyDescent="0.35">
      <c r="A136" s="1" t="s">
        <v>139</v>
      </c>
      <c r="B136" s="1"/>
      <c r="C136" s="1"/>
      <c r="D136" s="32">
        <f>SUMIFS(Lançamentos!$S$2:$S$1000,Lançamentos!$R$2:$R$1000,"Concluído",Lançamentos!$C$2:$C$1000,"&gt;="&amp;$B$6,Lançamentos!$C$2:$C$1000,"&lt;="&amp;$D$6)</f>
        <v>0</v>
      </c>
    </row>
    <row r="137" spans="1:11" x14ac:dyDescent="0.35">
      <c r="A137" s="1" t="s">
        <v>140</v>
      </c>
      <c r="B137" s="1"/>
      <c r="C137" s="1"/>
      <c r="D137" s="32">
        <f>SUMIFS(Lançamentos!$V$2:$V$1000,Lançamentos!$R$2:$R$1000,"Concluído",Lançamentos!$C$2:$C$1000,"&gt;="&amp;$B$6,Lançamentos!$C$2:$C$1000,"&lt;="&amp;$D$6)</f>
        <v>0</v>
      </c>
    </row>
    <row r="138" spans="1:11" x14ac:dyDescent="0.35">
      <c r="A138" s="1" t="s">
        <v>141</v>
      </c>
      <c r="B138" s="1"/>
      <c r="C138" s="1"/>
      <c r="D138" s="29">
        <f>COUNTIFS(Lançamentos!$H$2:$H$1000,"Automação",Lançamentos!$R$2:$R$1000,"Concluído",Lançamentos!$C$2:$C$1000,"&gt;="&amp;$B$6,Lançamentos!$C$2:$C$1000,"&lt;="&amp;$D$6)</f>
        <v>0</v>
      </c>
    </row>
    <row r="139" spans="1:11" x14ac:dyDescent="0.35">
      <c r="A139" s="1" t="s">
        <v>142</v>
      </c>
      <c r="B139" s="1"/>
      <c r="C139" s="1"/>
      <c r="D139" s="29">
        <f>COUNTIFS(Lançamentos!$H$2:$H$1000,"Dashboard",Lançamentos!$R$2:$R$1000,"Concluído",Lançamentos!$C$2:$C$1000,"&gt;="&amp;$B$6,Lançamentos!$C$2:$C$1000,"&lt;="&amp;$D$6)</f>
        <v>0</v>
      </c>
    </row>
    <row r="140" spans="1:11" x14ac:dyDescent="0.35">
      <c r="A140" s="1" t="s">
        <v>143</v>
      </c>
      <c r="B140" s="1"/>
      <c r="C140" s="1"/>
      <c r="D140" s="29">
        <f>COUNTIFS(Lançamentos!$H$2:$H$1000,"POP elaborado/atualizado",Lançamentos!$R$2:$R$1000,"Concluído",Lançamentos!$C$2:$C$1000,"&gt;="&amp;$B$6,Lançamentos!$C$2:$C$1000,"&lt;="&amp;$D$6)</f>
        <v>0</v>
      </c>
    </row>
    <row r="141" spans="1:11" x14ac:dyDescent="0.35">
      <c r="A141" s="1" t="s">
        <v>144</v>
      </c>
      <c r="B141" s="1"/>
      <c r="C141" s="1"/>
      <c r="D141" s="29">
        <f>COUNTIFS(Lançamentos!$H$2:$H$1000,"Fluxograma (AS-IS/TO-BE)",Lançamentos!$R$2:$R$1000,"Concluído",Lançamentos!$C$2:$C$1000,"&gt;="&amp;$B$6,Lançamentos!$C$2:$C$1000,"&lt;="&amp;$D$6)</f>
        <v>0</v>
      </c>
    </row>
    <row r="142" spans="1:11" x14ac:dyDescent="0.35">
      <c r="A142" s="1" t="s">
        <v>145</v>
      </c>
      <c r="B142" s="1"/>
      <c r="C142" s="1"/>
      <c r="D142" s="29">
        <f>COUNTIFS(Lançamentos!$H$2:$H$1000,"Agente de IA",Lançamentos!$R$2:$R$1000,"Concluído",Lançamentos!$C$2:$C$1000,"&gt;="&amp;$B$6,Lançamentos!$C$2:$C$1000,"&lt;="&amp;$D$6)</f>
        <v>0</v>
      </c>
    </row>
    <row r="144" spans="1:11" ht="19.5" customHeight="1" x14ac:dyDescent="0.35">
      <c r="A144" s="12" t="s">
        <v>146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 ht="24" customHeight="1" x14ac:dyDescent="0.35">
      <c r="A145" s="1" t="s">
        <v>147</v>
      </c>
      <c r="B145" s="1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t="24" customHeight="1" x14ac:dyDescent="0.35">
      <c r="A146" s="1" t="s">
        <v>148</v>
      </c>
      <c r="B146" s="1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24" customHeight="1" x14ac:dyDescent="0.35">
      <c r="A147" s="1" t="s">
        <v>149</v>
      </c>
      <c r="B147" s="1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t="24" customHeight="1" x14ac:dyDescent="0.35">
      <c r="A148" s="1" t="s">
        <v>150</v>
      </c>
      <c r="B148" s="1"/>
      <c r="C148" s="6"/>
      <c r="D148" s="6"/>
      <c r="E148" s="6"/>
      <c r="F148" s="6"/>
      <c r="G148" s="6"/>
      <c r="H148" s="6"/>
      <c r="I148" s="6"/>
      <c r="J148" s="6"/>
      <c r="K148" s="6"/>
    </row>
    <row r="150" spans="1:11" ht="19.5" customHeight="1" x14ac:dyDescent="0.35">
      <c r="A150" s="12" t="s">
        <v>151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 ht="15" customHeight="1" x14ac:dyDescent="0.35">
      <c r="A151" s="38" t="s">
        <v>152</v>
      </c>
      <c r="B151" s="38"/>
      <c r="C151" s="39"/>
      <c r="D151" s="39"/>
      <c r="E151" s="39"/>
      <c r="F151" s="39"/>
      <c r="G151" s="39"/>
      <c r="H151" s="39"/>
      <c r="I151" s="39"/>
      <c r="J151" s="39"/>
      <c r="K151" s="39"/>
    </row>
    <row r="152" spans="1:11" x14ac:dyDescent="0.35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</row>
    <row r="153" spans="1:11" ht="15" customHeight="1" x14ac:dyDescent="0.35">
      <c r="A153" s="38" t="s">
        <v>153</v>
      </c>
      <c r="B153" s="38"/>
      <c r="C153" s="40"/>
      <c r="D153" s="40"/>
      <c r="E153" s="40"/>
      <c r="F153" s="40"/>
      <c r="G153" s="40"/>
      <c r="H153" s="40"/>
      <c r="I153" s="40"/>
      <c r="J153" s="40"/>
      <c r="K153" s="40"/>
    </row>
    <row r="154" spans="1:11" x14ac:dyDescent="0.35">
      <c r="A154" s="38"/>
      <c r="B154" s="38"/>
      <c r="C154" s="40"/>
      <c r="D154" s="40"/>
      <c r="E154" s="40"/>
      <c r="F154" s="40"/>
      <c r="G154" s="40"/>
      <c r="H154" s="40"/>
      <c r="I154" s="40"/>
      <c r="J154" s="40"/>
      <c r="K154" s="40"/>
    </row>
    <row r="156" spans="1:11" ht="19.5" customHeight="1" x14ac:dyDescent="0.35">
      <c r="A156" s="12" t="s">
        <v>154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 x14ac:dyDescent="0.35">
      <c r="A157" s="33" t="s">
        <v>155</v>
      </c>
      <c r="B157" s="41"/>
      <c r="C157" s="41"/>
    </row>
    <row r="158" spans="1:11" x14ac:dyDescent="0.35">
      <c r="A158" s="33" t="s">
        <v>156</v>
      </c>
      <c r="B158" s="41"/>
      <c r="C158" s="41"/>
    </row>
    <row r="159" spans="1:11" x14ac:dyDescent="0.35">
      <c r="A159" s="33" t="s">
        <v>123</v>
      </c>
      <c r="B159" s="41"/>
      <c r="C159" s="41"/>
    </row>
    <row r="160" spans="1:11" x14ac:dyDescent="0.35">
      <c r="A160" s="33" t="s">
        <v>157</v>
      </c>
      <c r="B160" s="42"/>
      <c r="C160" s="42"/>
      <c r="D160" s="42"/>
      <c r="E160" s="42"/>
      <c r="F160" s="42"/>
      <c r="G160" s="42"/>
      <c r="H160" s="42"/>
      <c r="I160" s="42"/>
      <c r="J160" s="42"/>
      <c r="K160" s="42"/>
    </row>
    <row r="161" spans="1:11" x14ac:dyDescent="0.35">
      <c r="A161" s="33" t="s">
        <v>158</v>
      </c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  <row r="162" spans="1:11" x14ac:dyDescent="0.35">
      <c r="B162" s="40"/>
      <c r="C162" s="40"/>
      <c r="D162" s="40"/>
      <c r="E162" s="40"/>
      <c r="F162" s="40"/>
      <c r="G162" s="40"/>
      <c r="H162" s="40"/>
      <c r="I162" s="40"/>
      <c r="J162" s="40"/>
      <c r="K162" s="40"/>
    </row>
    <row r="164" spans="1:11" ht="19.5" customHeight="1" x14ac:dyDescent="0.35">
      <c r="A164" s="12" t="s">
        <v>159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 x14ac:dyDescent="0.35">
      <c r="A165" s="33" t="s">
        <v>160</v>
      </c>
      <c r="B165" s="43"/>
      <c r="C165" s="43"/>
    </row>
    <row r="166" spans="1:11" x14ac:dyDescent="0.35">
      <c r="A166" s="33" t="s">
        <v>123</v>
      </c>
      <c r="B166" s="43"/>
      <c r="C166" s="43"/>
    </row>
    <row r="167" spans="1:11" x14ac:dyDescent="0.35">
      <c r="A167" s="33" t="s">
        <v>156</v>
      </c>
      <c r="B167" s="43"/>
      <c r="C167" s="43"/>
    </row>
    <row r="168" spans="1:11" x14ac:dyDescent="0.35">
      <c r="A168" s="33" t="s">
        <v>161</v>
      </c>
      <c r="B168" s="43"/>
      <c r="C168" s="43"/>
    </row>
    <row r="169" spans="1:11" x14ac:dyDescent="0.35">
      <c r="A169" s="33" t="s">
        <v>162</v>
      </c>
      <c r="B169" s="43"/>
      <c r="C169" s="43"/>
    </row>
  </sheetData>
  <mergeCells count="133">
    <mergeCell ref="B169:C169"/>
    <mergeCell ref="B158:C158"/>
    <mergeCell ref="B159:C159"/>
    <mergeCell ref="B160:K160"/>
    <mergeCell ref="B161:K162"/>
    <mergeCell ref="A164:K164"/>
    <mergeCell ref="B165:C165"/>
    <mergeCell ref="B166:C166"/>
    <mergeCell ref="B167:C167"/>
    <mergeCell ref="B168:C168"/>
    <mergeCell ref="A148:B148"/>
    <mergeCell ref="C148:K148"/>
    <mergeCell ref="A150:K150"/>
    <mergeCell ref="A151:B152"/>
    <mergeCell ref="C151:K152"/>
    <mergeCell ref="A153:B154"/>
    <mergeCell ref="C153:K154"/>
    <mergeCell ref="A156:K156"/>
    <mergeCell ref="B157:C157"/>
    <mergeCell ref="A140:C140"/>
    <mergeCell ref="A141:C141"/>
    <mergeCell ref="A142:C142"/>
    <mergeCell ref="A144:K144"/>
    <mergeCell ref="A145:B145"/>
    <mergeCell ref="C145:K145"/>
    <mergeCell ref="A146:B146"/>
    <mergeCell ref="C146:K146"/>
    <mergeCell ref="A147:B147"/>
    <mergeCell ref="C147:K147"/>
    <mergeCell ref="A131:K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25:D125"/>
    <mergeCell ref="G125:H125"/>
    <mergeCell ref="A126:D126"/>
    <mergeCell ref="G126:H126"/>
    <mergeCell ref="A127:D127"/>
    <mergeCell ref="G127:H127"/>
    <mergeCell ref="A128:D128"/>
    <mergeCell ref="G128:H128"/>
    <mergeCell ref="A129:D129"/>
    <mergeCell ref="G129:H129"/>
    <mergeCell ref="A117:E117"/>
    <mergeCell ref="A118:E118"/>
    <mergeCell ref="A119:E119"/>
    <mergeCell ref="A120:E120"/>
    <mergeCell ref="A122:K122"/>
    <mergeCell ref="A123:D123"/>
    <mergeCell ref="G123:H123"/>
    <mergeCell ref="A124:D124"/>
    <mergeCell ref="G124:H124"/>
    <mergeCell ref="A107:K107"/>
    <mergeCell ref="A108:D108"/>
    <mergeCell ref="A109:D109"/>
    <mergeCell ref="A110:D110"/>
    <mergeCell ref="A111:D111"/>
    <mergeCell ref="A112:D112"/>
    <mergeCell ref="A113:D113"/>
    <mergeCell ref="A115:K115"/>
    <mergeCell ref="A116:E116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E91:K91"/>
    <mergeCell ref="E92:K92"/>
    <mergeCell ref="E93:K93"/>
    <mergeCell ref="E94:K94"/>
    <mergeCell ref="E95:K95"/>
    <mergeCell ref="E96:K96"/>
    <mergeCell ref="E97:K97"/>
    <mergeCell ref="A99:K99"/>
    <mergeCell ref="A100:D100"/>
    <mergeCell ref="F100:G100"/>
    <mergeCell ref="H38:K38"/>
    <mergeCell ref="H39:K39"/>
    <mergeCell ref="H40:K40"/>
    <mergeCell ref="H41:K41"/>
    <mergeCell ref="A43:K43"/>
    <mergeCell ref="A86:K86"/>
    <mergeCell ref="E88:K88"/>
    <mergeCell ref="E89:K89"/>
    <mergeCell ref="E90:K90"/>
    <mergeCell ref="H29:K29"/>
    <mergeCell ref="H30:K30"/>
    <mergeCell ref="H31:K31"/>
    <mergeCell ref="H32:K32"/>
    <mergeCell ref="H33:K33"/>
    <mergeCell ref="H34:K34"/>
    <mergeCell ref="H35:K35"/>
    <mergeCell ref="H36:K36"/>
    <mergeCell ref="H37:K37"/>
    <mergeCell ref="A20:K20"/>
    <mergeCell ref="H21:K21"/>
    <mergeCell ref="H22:K22"/>
    <mergeCell ref="H23:K23"/>
    <mergeCell ref="H24:K24"/>
    <mergeCell ref="H25:K25"/>
    <mergeCell ref="H26:K26"/>
    <mergeCell ref="H27:K27"/>
    <mergeCell ref="H28:K28"/>
    <mergeCell ref="A14:B14"/>
    <mergeCell ref="C14:K14"/>
    <mergeCell ref="A15:B15"/>
    <mergeCell ref="C15:K15"/>
    <mergeCell ref="A16:B16"/>
    <mergeCell ref="C16:K16"/>
    <mergeCell ref="A17:B17"/>
    <mergeCell ref="C17:K17"/>
    <mergeCell ref="A18:B18"/>
    <mergeCell ref="C18:K18"/>
    <mergeCell ref="A1:K1"/>
    <mergeCell ref="A2:K2"/>
    <mergeCell ref="A4:K4"/>
    <mergeCell ref="B5:D5"/>
    <mergeCell ref="B7:D7"/>
    <mergeCell ref="B8:D8"/>
    <mergeCell ref="B9:D9"/>
    <mergeCell ref="A12:K12"/>
    <mergeCell ref="A13:B13"/>
    <mergeCell ref="C13:K13"/>
  </mergeCells>
  <conditionalFormatting sqref="B165:B169">
    <cfRule type="cellIs" dxfId="8" priority="8" operator="equal">
      <formula>"🟢 Verde"</formula>
    </cfRule>
    <cfRule type="cellIs" dxfId="7" priority="9" operator="equal">
      <formula>"🟡 Atenção"</formula>
    </cfRule>
    <cfRule type="cellIs" dxfId="6" priority="10" operator="equal">
      <formula>"🔴 Crítico"</formula>
    </cfRule>
  </conditionalFormatting>
  <conditionalFormatting sqref="E45:E84">
    <cfRule type="cellIs" dxfId="5" priority="4" operator="equal">
      <formula>"🟢 Concluído"</formula>
    </cfRule>
    <cfRule type="cellIs" dxfId="4" priority="5" operator="equal">
      <formula>"🟡 Em andamento"</formula>
    </cfRule>
    <cfRule type="cellIs" dxfId="3" priority="6" operator="equal">
      <formula>"🔴 Bloqueado"</formula>
    </cfRule>
  </conditionalFormatting>
  <conditionalFormatting sqref="G22:G41">
    <cfRule type="expression" dxfId="2" priority="2">
      <formula>AND($G22&lt;&gt;"",$G22&gt;=15)</formula>
    </cfRule>
    <cfRule type="expression" dxfId="1" priority="3">
      <formula>AND($G22&lt;&gt;"",$G22&gt;=8)</formula>
    </cfRule>
  </conditionalFormatting>
  <conditionalFormatting sqref="M45:M84">
    <cfRule type="expression" dxfId="0" priority="7">
      <formula>AND($B45&lt;&gt;"",$M45&gt;=3)</formula>
    </cfRule>
  </conditionalFormatting>
  <dataValidations count="10">
    <dataValidation type="list" allowBlank="1" showErrorMessage="1" errorTitle="Valor inválido" error="Selecione um valor da lista." sqref="E45:E84 G124:G129" xr:uid="{00000000-0002-0000-0200-000000000000}">
      <formula1>StatusSemana</formula1>
      <formula2>0</formula2>
    </dataValidation>
    <dataValidation type="list" allowBlank="1" showErrorMessage="1" errorTitle="Valor inválido" error="Selecione um valor da lista." sqref="F45:F84" xr:uid="{00000000-0002-0000-0200-000001000000}">
      <formula1>MotivoStatus</formula1>
      <formula2>0</formula2>
    </dataValidation>
    <dataValidation type="list" allowBlank="1" showErrorMessage="1" errorTitle="Valor inválido" error="Selecione um valor da lista." sqref="I45:I84" xr:uid="{00000000-0002-0000-0200-000002000000}">
      <formula1>SimNao</formula1>
      <formula2>0</formula2>
    </dataValidation>
    <dataValidation type="list" allowBlank="1" showErrorMessage="1" errorTitle="Valor inválido" error="Selecione um valor da lista." sqref="E101:E105" xr:uid="{00000000-0002-0000-0200-000003000000}">
      <formula1>Impactos</formula1>
      <formula2>0</formula2>
    </dataValidation>
    <dataValidation type="list" allowBlank="1" showErrorMessage="1" errorTitle="Valor inválido" error="Selecione um valor da lista." sqref="E109:E113" xr:uid="{00000000-0002-0000-0200-000004000000}">
      <formula1>CategoriasImped</formula1>
      <formula2>0</formula2>
    </dataValidation>
    <dataValidation type="list" allowBlank="1" showErrorMessage="1" errorTitle="Valor inválido" error="Selecione um valor da lista." sqref="G117:G120 I124:I129" xr:uid="{00000000-0002-0000-0200-000005000000}">
      <formula1>Prioridades</formula1>
      <formula2>0</formula2>
    </dataValidation>
    <dataValidation type="list" allowBlank="1" showErrorMessage="1" errorTitle="Valor inválido" error="Selecione um valor da lista." sqref="E124:E129" xr:uid="{00000000-0002-0000-0200-000006000000}">
      <formula1>Projetos</formula1>
      <formula2>0</formula2>
    </dataValidation>
    <dataValidation type="list" allowBlank="1" showErrorMessage="1" errorTitle="Valor inválido" error="Selecione um valor da lista." sqref="B157:B158" xr:uid="{00000000-0002-0000-0200-000009000000}">
      <formula1>AvalDesemp</formula1>
      <formula2>0</formula2>
    </dataValidation>
    <dataValidation type="list" allowBlank="1" showErrorMessage="1" errorTitle="Valor inválido" error="Selecione um valor da lista." sqref="B159" xr:uid="{00000000-0002-0000-0200-00000B000000}">
      <formula1>AvalPrazo</formula1>
      <formula2>0</formula2>
    </dataValidation>
    <dataValidation type="list" allowBlank="1" showErrorMessage="1" errorTitle="Valor inválido" error="Selecione um valor da lista." sqref="B165:B169" xr:uid="{00000000-0002-0000-0200-00000C000000}">
      <formula1>RadarCor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5" width="13" customWidth="1"/>
  </cols>
  <sheetData>
    <row r="1" spans="1:5" ht="27.75" customHeight="1" x14ac:dyDescent="0.35">
      <c r="A1" s="14" t="s">
        <v>163</v>
      </c>
      <c r="B1" s="14"/>
      <c r="C1" s="14"/>
      <c r="D1" s="14"/>
      <c r="E1" s="14"/>
    </row>
    <row r="2" spans="1:5" x14ac:dyDescent="0.35">
      <c r="A2" s="13" t="s">
        <v>164</v>
      </c>
      <c r="B2" s="13"/>
      <c r="C2" s="13"/>
      <c r="D2" s="13"/>
      <c r="E2" s="13"/>
    </row>
    <row r="4" spans="1:5" ht="19.5" customHeight="1" x14ac:dyDescent="0.35">
      <c r="A4" s="12" t="s">
        <v>165</v>
      </c>
      <c r="B4" s="12"/>
      <c r="C4" s="12"/>
      <c r="D4" s="12"/>
      <c r="E4" s="12"/>
    </row>
    <row r="5" spans="1:5" x14ac:dyDescent="0.35">
      <c r="A5" s="33" t="s">
        <v>166</v>
      </c>
      <c r="B5" s="29">
        <f>COUNTIF(Lançamentos!$I$2:$I$1000,"&lt;&gt;")</f>
        <v>0</v>
      </c>
    </row>
    <row r="6" spans="1:5" x14ac:dyDescent="0.35">
      <c r="A6" s="33" t="s">
        <v>167</v>
      </c>
      <c r="B6" s="29">
        <f>COUNTIFS(Lançamentos!$I$2:$I$1000,"&lt;&gt;",Lançamentos!$N$2:$N$1000,"&lt;&gt;Apoio")</f>
        <v>0</v>
      </c>
    </row>
    <row r="7" spans="1:5" x14ac:dyDescent="0.35">
      <c r="A7" s="33" t="s">
        <v>168</v>
      </c>
      <c r="B7" s="29">
        <f>COUNTIF(Lançamentos!$N$2:$N$1000,"Apoio")</f>
        <v>0</v>
      </c>
    </row>
    <row r="8" spans="1:5" x14ac:dyDescent="0.35">
      <c r="A8" s="33" t="s">
        <v>169</v>
      </c>
      <c r="B8" s="29">
        <f>COUNTIF(Lançamentos!$R$2:$R$1000,"Concluído")</f>
        <v>0</v>
      </c>
    </row>
    <row r="9" spans="1:5" x14ac:dyDescent="0.35">
      <c r="A9" s="33" t="s">
        <v>81</v>
      </c>
      <c r="B9" s="29">
        <f>COUNTIF(Lançamentos!$R$2:$R$1000,"Em andamento")</f>
        <v>0</v>
      </c>
    </row>
    <row r="10" spans="1:5" x14ac:dyDescent="0.35">
      <c r="A10" s="33" t="s">
        <v>170</v>
      </c>
      <c r="B10" s="32">
        <f>SUM(Lançamentos!$S$2:$S$1000)</f>
        <v>0</v>
      </c>
    </row>
    <row r="11" spans="1:5" x14ac:dyDescent="0.35">
      <c r="A11" s="33" t="s">
        <v>140</v>
      </c>
      <c r="B11" s="32">
        <f>SUM(Lançamentos!$V$2:$V$1000)</f>
        <v>0</v>
      </c>
    </row>
    <row r="13" spans="1:5" ht="19.5" customHeight="1" x14ac:dyDescent="0.35">
      <c r="A13" s="12" t="s">
        <v>171</v>
      </c>
      <c r="B13" s="12"/>
      <c r="C13" s="12"/>
      <c r="D13" s="12"/>
      <c r="E13" s="12"/>
    </row>
    <row r="14" spans="1:5" x14ac:dyDescent="0.35">
      <c r="A14" s="30" t="s">
        <v>172</v>
      </c>
      <c r="B14" s="30" t="s">
        <v>173</v>
      </c>
      <c r="C14" s="30" t="s">
        <v>174</v>
      </c>
      <c r="D14" s="30" t="s">
        <v>118</v>
      </c>
      <c r="E14" s="30" t="s">
        <v>175</v>
      </c>
    </row>
    <row r="15" spans="1:5" x14ac:dyDescent="0.35">
      <c r="A15" s="25" t="s">
        <v>176</v>
      </c>
      <c r="B15" s="34">
        <f>COUNTIF(Lançamentos!$E$2:$E$1000,$A15)</f>
        <v>0</v>
      </c>
      <c r="C15" s="34">
        <f>COUNTIFS(Lançamentos!$E$2:$E$1000,$A15,Lançamentos!$R$2:$R$1000,"Concluído")</f>
        <v>0</v>
      </c>
      <c r="D15" s="35">
        <f>SUMIFS(Lançamentos!$S$2:$S$1000,Lançamentos!$E$2:$E$1000,$A15)</f>
        <v>0</v>
      </c>
      <c r="E15" s="35">
        <f>SUMIFS(Lançamentos!$V$2:$V$1000,Lançamentos!$E$2:$E$1000,$A15)</f>
        <v>0</v>
      </c>
    </row>
    <row r="16" spans="1:5" x14ac:dyDescent="0.35">
      <c r="A16" s="25" t="s">
        <v>55</v>
      </c>
      <c r="B16" s="34">
        <f>COUNTIF(Lançamentos!$E$2:$E$1000,$A16)</f>
        <v>0</v>
      </c>
      <c r="C16" s="34">
        <f>COUNTIFS(Lançamentos!$E$2:$E$1000,$A16,Lançamentos!$R$2:$R$1000,"Concluído")</f>
        <v>0</v>
      </c>
      <c r="D16" s="35">
        <f>SUMIFS(Lançamentos!$S$2:$S$1000,Lançamentos!$E$2:$E$1000,$A16)</f>
        <v>0</v>
      </c>
      <c r="E16" s="35">
        <f>SUMIFS(Lançamentos!$V$2:$V$1000,Lançamentos!$E$2:$E$1000,$A16)</f>
        <v>0</v>
      </c>
    </row>
    <row r="17" spans="1:5" x14ac:dyDescent="0.35">
      <c r="A17" s="25" t="s">
        <v>66</v>
      </c>
      <c r="B17" s="34">
        <f>COUNTIF(Lançamentos!$E$2:$E$1000,$A17)</f>
        <v>0</v>
      </c>
      <c r="C17" s="34">
        <f>COUNTIFS(Lançamentos!$E$2:$E$1000,$A17,Lançamentos!$R$2:$R$1000,"Concluído")</f>
        <v>0</v>
      </c>
      <c r="D17" s="35">
        <f>SUMIFS(Lançamentos!$S$2:$S$1000,Lançamentos!$E$2:$E$1000,$A17)</f>
        <v>0</v>
      </c>
      <c r="E17" s="35">
        <f>SUMIFS(Lançamentos!$V$2:$V$1000,Lançamentos!$E$2:$E$1000,$A17)</f>
        <v>0</v>
      </c>
    </row>
    <row r="18" spans="1:5" x14ac:dyDescent="0.35">
      <c r="A18" s="25" t="s">
        <v>177</v>
      </c>
      <c r="B18" s="34">
        <f>COUNTIF(Lançamentos!$E$2:$E$1000,$A18)</f>
        <v>0</v>
      </c>
      <c r="C18" s="34">
        <f>COUNTIFS(Lançamentos!$E$2:$E$1000,$A18,Lançamentos!$R$2:$R$1000,"Concluído")</f>
        <v>0</v>
      </c>
      <c r="D18" s="35">
        <f>SUMIFS(Lançamentos!$S$2:$S$1000,Lançamentos!$E$2:$E$1000,$A18)</f>
        <v>0</v>
      </c>
      <c r="E18" s="35">
        <f>SUMIFS(Lançamentos!$V$2:$V$1000,Lançamentos!$E$2:$E$1000,$A18)</f>
        <v>0</v>
      </c>
    </row>
    <row r="19" spans="1:5" x14ac:dyDescent="0.35">
      <c r="A19" s="25" t="s">
        <v>178</v>
      </c>
      <c r="B19" s="34">
        <f>COUNTIF(Lançamentos!$E$2:$E$1000,$A19)</f>
        <v>0</v>
      </c>
      <c r="C19" s="34">
        <f>COUNTIFS(Lançamentos!$E$2:$E$1000,$A19,Lançamentos!$R$2:$R$1000,"Concluído")</f>
        <v>0</v>
      </c>
      <c r="D19" s="35">
        <f>SUMIFS(Lançamentos!$S$2:$S$1000,Lançamentos!$E$2:$E$1000,$A19)</f>
        <v>0</v>
      </c>
      <c r="E19" s="35">
        <f>SUMIFS(Lançamentos!$V$2:$V$1000,Lançamentos!$E$2:$E$1000,$A19)</f>
        <v>0</v>
      </c>
    </row>
    <row r="20" spans="1:5" x14ac:dyDescent="0.35">
      <c r="A20" s="25" t="s">
        <v>75</v>
      </c>
      <c r="B20" s="34">
        <f>COUNTIF(Lançamentos!$E$2:$E$1000,$A20)</f>
        <v>0</v>
      </c>
      <c r="C20" s="34">
        <f>COUNTIFS(Lançamentos!$E$2:$E$1000,$A20,Lançamentos!$R$2:$R$1000,"Concluído")</f>
        <v>0</v>
      </c>
      <c r="D20" s="35">
        <f>SUMIFS(Lançamentos!$S$2:$S$1000,Lançamentos!$E$2:$E$1000,$A20)</f>
        <v>0</v>
      </c>
      <c r="E20" s="35">
        <f>SUMIFS(Lançamentos!$V$2:$V$1000,Lançamentos!$E$2:$E$1000,$A20)</f>
        <v>0</v>
      </c>
    </row>
    <row r="21" spans="1:5" x14ac:dyDescent="0.35">
      <c r="A21" s="25" t="s">
        <v>179</v>
      </c>
      <c r="B21" s="34">
        <f>COUNTIF(Lançamentos!$E$2:$E$1000,$A21)</f>
        <v>0</v>
      </c>
      <c r="C21" s="34">
        <f>COUNTIFS(Lançamentos!$E$2:$E$1000,$A21,Lançamentos!$R$2:$R$1000,"Concluído")</f>
        <v>0</v>
      </c>
      <c r="D21" s="35">
        <f>SUMIFS(Lançamentos!$S$2:$S$1000,Lançamentos!$E$2:$E$1000,$A21)</f>
        <v>0</v>
      </c>
      <c r="E21" s="35">
        <f>SUMIFS(Lançamentos!$V$2:$V$1000,Lançamentos!$E$2:$E$1000,$A21)</f>
        <v>0</v>
      </c>
    </row>
    <row r="22" spans="1:5" x14ac:dyDescent="0.35">
      <c r="A22" s="25" t="s">
        <v>180</v>
      </c>
      <c r="B22" s="34">
        <f>COUNTIF(Lançamentos!$E$2:$E$1000,$A22)</f>
        <v>0</v>
      </c>
      <c r="C22" s="34">
        <f>COUNTIFS(Lançamentos!$E$2:$E$1000,$A22,Lançamentos!$R$2:$R$1000,"Concluído")</f>
        <v>0</v>
      </c>
      <c r="D22" s="35">
        <f>SUMIFS(Lançamentos!$S$2:$S$1000,Lançamentos!$E$2:$E$1000,$A22)</f>
        <v>0</v>
      </c>
      <c r="E22" s="35">
        <f>SUMIFS(Lançamentos!$V$2:$V$1000,Lançamentos!$E$2:$E$1000,$A22)</f>
        <v>0</v>
      </c>
    </row>
    <row r="23" spans="1:5" x14ac:dyDescent="0.35">
      <c r="A23" s="25" t="s">
        <v>181</v>
      </c>
      <c r="B23" s="34">
        <f>COUNTIF(Lançamentos!$E$2:$E$1000,$A23)</f>
        <v>0</v>
      </c>
      <c r="C23" s="34">
        <f>COUNTIFS(Lançamentos!$E$2:$E$1000,$A23,Lançamentos!$R$2:$R$1000,"Concluído")</f>
        <v>0</v>
      </c>
      <c r="D23" s="35">
        <f>SUMIFS(Lançamentos!$S$2:$S$1000,Lançamentos!$E$2:$E$1000,$A23)</f>
        <v>0</v>
      </c>
      <c r="E23" s="35">
        <f>SUMIFS(Lançamentos!$V$2:$V$1000,Lançamentos!$E$2:$E$1000,$A23)</f>
        <v>0</v>
      </c>
    </row>
    <row r="25" spans="1:5" ht="19.5" customHeight="1" x14ac:dyDescent="0.35">
      <c r="A25" s="12" t="s">
        <v>182</v>
      </c>
      <c r="B25" s="12"/>
      <c r="C25" s="12"/>
      <c r="D25" s="12"/>
      <c r="E25" s="12"/>
    </row>
    <row r="26" spans="1:5" x14ac:dyDescent="0.35">
      <c r="A26" s="30" t="s">
        <v>172</v>
      </c>
      <c r="B26" s="30" t="s">
        <v>173</v>
      </c>
      <c r="C26" s="30" t="s">
        <v>174</v>
      </c>
      <c r="D26" s="30" t="s">
        <v>118</v>
      </c>
      <c r="E26" s="30" t="s">
        <v>175</v>
      </c>
    </row>
    <row r="27" spans="1:5" x14ac:dyDescent="0.35">
      <c r="A27" s="25" t="s">
        <v>183</v>
      </c>
      <c r="B27" s="34">
        <f>COUNTIF(Lançamentos!$G$2:$G$1000,$A27)</f>
        <v>0</v>
      </c>
      <c r="C27" s="34">
        <f>COUNTIFS(Lançamentos!$G$2:$G$1000,$A27,Lançamentos!$R$2:$R$1000,"Concluído")</f>
        <v>0</v>
      </c>
      <c r="D27" s="35">
        <f>SUMIFS(Lançamentos!$S$2:$S$1000,Lançamentos!$G$2:$G$1000,$A27)</f>
        <v>0</v>
      </c>
      <c r="E27" s="35">
        <f>SUMIFS(Lançamentos!$V$2:$V$1000,Lançamentos!$G$2:$G$1000,$A27)</f>
        <v>0</v>
      </c>
    </row>
    <row r="28" spans="1:5" x14ac:dyDescent="0.35">
      <c r="A28" s="25" t="s">
        <v>68</v>
      </c>
      <c r="B28" s="34">
        <f>COUNTIF(Lançamentos!$G$2:$G$1000,$A28)</f>
        <v>0</v>
      </c>
      <c r="C28" s="34">
        <f>COUNTIFS(Lançamentos!$G$2:$G$1000,$A28,Lançamentos!$R$2:$R$1000,"Concluído")</f>
        <v>0</v>
      </c>
      <c r="D28" s="35">
        <f>SUMIFS(Lançamentos!$S$2:$S$1000,Lançamentos!$G$2:$G$1000,$A28)</f>
        <v>0</v>
      </c>
      <c r="E28" s="35">
        <f>SUMIFS(Lançamentos!$V$2:$V$1000,Lançamentos!$G$2:$G$1000,$A28)</f>
        <v>0</v>
      </c>
    </row>
    <row r="29" spans="1:5" x14ac:dyDescent="0.35">
      <c r="A29" s="25" t="s">
        <v>184</v>
      </c>
      <c r="B29" s="34">
        <f>COUNTIF(Lançamentos!$G$2:$G$1000,$A29)</f>
        <v>0</v>
      </c>
      <c r="C29" s="34">
        <f>COUNTIFS(Lançamentos!$G$2:$G$1000,$A29,Lançamentos!$R$2:$R$1000,"Concluído")</f>
        <v>0</v>
      </c>
      <c r="D29" s="35">
        <f>SUMIFS(Lançamentos!$S$2:$S$1000,Lançamentos!$G$2:$G$1000,$A29)</f>
        <v>0</v>
      </c>
      <c r="E29" s="35">
        <f>SUMIFS(Lançamentos!$V$2:$V$1000,Lançamentos!$G$2:$G$1000,$A29)</f>
        <v>0</v>
      </c>
    </row>
    <row r="30" spans="1:5" x14ac:dyDescent="0.35">
      <c r="A30" s="25" t="s">
        <v>57</v>
      </c>
      <c r="B30" s="34">
        <f>COUNTIF(Lançamentos!$G$2:$G$1000,$A30)</f>
        <v>0</v>
      </c>
      <c r="C30" s="34">
        <f>COUNTIFS(Lançamentos!$G$2:$G$1000,$A30,Lançamentos!$R$2:$R$1000,"Concluído")</f>
        <v>0</v>
      </c>
      <c r="D30" s="35">
        <f>SUMIFS(Lançamentos!$S$2:$S$1000,Lançamentos!$G$2:$G$1000,$A30)</f>
        <v>0</v>
      </c>
      <c r="E30" s="35">
        <f>SUMIFS(Lançamentos!$V$2:$V$1000,Lançamentos!$G$2:$G$1000,$A30)</f>
        <v>0</v>
      </c>
    </row>
    <row r="31" spans="1:5" x14ac:dyDescent="0.35">
      <c r="A31" s="25" t="s">
        <v>185</v>
      </c>
      <c r="B31" s="34">
        <f>COUNTIF(Lançamentos!$G$2:$G$1000,$A31)</f>
        <v>0</v>
      </c>
      <c r="C31" s="34">
        <f>COUNTIFS(Lançamentos!$G$2:$G$1000,$A31,Lançamentos!$R$2:$R$1000,"Concluído")</f>
        <v>0</v>
      </c>
      <c r="D31" s="35">
        <f>SUMIFS(Lançamentos!$S$2:$S$1000,Lançamentos!$G$2:$G$1000,$A31)</f>
        <v>0</v>
      </c>
      <c r="E31" s="35">
        <f>SUMIFS(Lançamentos!$V$2:$V$1000,Lançamentos!$G$2:$G$1000,$A31)</f>
        <v>0</v>
      </c>
    </row>
    <row r="32" spans="1:5" x14ac:dyDescent="0.35">
      <c r="A32" s="25" t="s">
        <v>77</v>
      </c>
      <c r="B32" s="34">
        <f>COUNTIF(Lançamentos!$G$2:$G$1000,$A32)</f>
        <v>0</v>
      </c>
      <c r="C32" s="34">
        <f>COUNTIFS(Lançamentos!$G$2:$G$1000,$A32,Lançamentos!$R$2:$R$1000,"Concluído")</f>
        <v>0</v>
      </c>
      <c r="D32" s="35">
        <f>SUMIFS(Lançamentos!$S$2:$S$1000,Lançamentos!$G$2:$G$1000,$A32)</f>
        <v>0</v>
      </c>
      <c r="E32" s="35">
        <f>SUMIFS(Lançamentos!$V$2:$V$1000,Lançamentos!$G$2:$G$1000,$A32)</f>
        <v>0</v>
      </c>
    </row>
    <row r="34" spans="1:5" ht="19.5" customHeight="1" x14ac:dyDescent="0.35">
      <c r="A34" s="12" t="s">
        <v>186</v>
      </c>
      <c r="B34" s="12"/>
      <c r="C34" s="12"/>
      <c r="D34" s="12"/>
      <c r="E34" s="12"/>
    </row>
    <row r="35" spans="1:5" x14ac:dyDescent="0.35">
      <c r="A35" s="30" t="s">
        <v>172</v>
      </c>
      <c r="B35" s="30" t="s">
        <v>173</v>
      </c>
      <c r="C35" s="30" t="s">
        <v>174</v>
      </c>
      <c r="D35" s="30" t="s">
        <v>118</v>
      </c>
      <c r="E35" s="30" t="s">
        <v>175</v>
      </c>
    </row>
    <row r="36" spans="1:5" x14ac:dyDescent="0.35">
      <c r="A36" s="25" t="s">
        <v>187</v>
      </c>
      <c r="B36" s="34">
        <f>COUNTIF(Lançamentos!$K$2:$K$1000,$A36)</f>
        <v>0</v>
      </c>
      <c r="C36" s="34">
        <f>COUNTIFS(Lançamentos!$K$2:$K$1000,$A36,Lançamentos!$R$2:$R$1000,"Concluído")</f>
        <v>0</v>
      </c>
      <c r="D36" s="35">
        <f>SUMIFS(Lançamentos!$S$2:$S$1000,Lançamentos!$K$2:$K$1000,$A36)</f>
        <v>0</v>
      </c>
      <c r="E36" s="35">
        <f>SUMIFS(Lançamentos!$V$2:$V$1000,Lançamentos!$K$2:$K$1000,$A36)</f>
        <v>0</v>
      </c>
    </row>
    <row r="37" spans="1:5" x14ac:dyDescent="0.35">
      <c r="A37" s="25" t="s">
        <v>79</v>
      </c>
      <c r="B37" s="34">
        <f>COUNTIF(Lançamentos!$K$2:$K$1000,$A37)</f>
        <v>0</v>
      </c>
      <c r="C37" s="34">
        <f>COUNTIFS(Lançamentos!$K$2:$K$1000,$A37,Lançamentos!$R$2:$R$1000,"Concluído")</f>
        <v>0</v>
      </c>
      <c r="D37" s="35">
        <f>SUMIFS(Lançamentos!$S$2:$S$1000,Lançamentos!$K$2:$K$1000,$A37)</f>
        <v>0</v>
      </c>
      <c r="E37" s="35">
        <f>SUMIFS(Lançamentos!$V$2:$V$1000,Lançamentos!$K$2:$K$1000,$A37)</f>
        <v>0</v>
      </c>
    </row>
    <row r="38" spans="1:5" x14ac:dyDescent="0.35">
      <c r="A38" s="25" t="s">
        <v>188</v>
      </c>
      <c r="B38" s="34">
        <f>COUNTIF(Lançamentos!$K$2:$K$1000,$A38)</f>
        <v>0</v>
      </c>
      <c r="C38" s="34">
        <f>COUNTIFS(Lançamentos!$K$2:$K$1000,$A38,Lançamentos!$R$2:$R$1000,"Concluído")</f>
        <v>0</v>
      </c>
      <c r="D38" s="35">
        <f>SUMIFS(Lançamentos!$S$2:$S$1000,Lançamentos!$K$2:$K$1000,$A38)</f>
        <v>0</v>
      </c>
      <c r="E38" s="35">
        <f>SUMIFS(Lançamentos!$V$2:$V$1000,Lançamentos!$K$2:$K$1000,$A38)</f>
        <v>0</v>
      </c>
    </row>
    <row r="39" spans="1:5" x14ac:dyDescent="0.35">
      <c r="A39" s="25" t="s">
        <v>189</v>
      </c>
      <c r="B39" s="34">
        <f>COUNTIF(Lançamentos!$K$2:$K$1000,$A39)</f>
        <v>0</v>
      </c>
      <c r="C39" s="34">
        <f>COUNTIFS(Lançamentos!$K$2:$K$1000,$A39,Lançamentos!$R$2:$R$1000,"Concluído")</f>
        <v>0</v>
      </c>
      <c r="D39" s="35">
        <f>SUMIFS(Lançamentos!$S$2:$S$1000,Lançamentos!$K$2:$K$1000,$A39)</f>
        <v>0</v>
      </c>
      <c r="E39" s="35">
        <f>SUMIFS(Lançamentos!$V$2:$V$1000,Lançamentos!$K$2:$K$1000,$A39)</f>
        <v>0</v>
      </c>
    </row>
    <row r="40" spans="1:5" x14ac:dyDescent="0.35">
      <c r="A40" s="25" t="s">
        <v>25</v>
      </c>
      <c r="B40" s="34">
        <f>COUNTIF(Lançamentos!$K$2:$K$1000,$A40)</f>
        <v>0</v>
      </c>
      <c r="C40" s="34">
        <f>COUNTIFS(Lançamentos!$K$2:$K$1000,$A40,Lançamentos!$R$2:$R$1000,"Concluído")</f>
        <v>0</v>
      </c>
      <c r="D40" s="35">
        <f>SUMIFS(Lançamentos!$S$2:$S$1000,Lançamentos!$K$2:$K$1000,$A40)</f>
        <v>0</v>
      </c>
      <c r="E40" s="35">
        <f>SUMIFS(Lançamentos!$V$2:$V$1000,Lançamentos!$K$2:$K$1000,$A40)</f>
        <v>0</v>
      </c>
    </row>
    <row r="41" spans="1:5" x14ac:dyDescent="0.35">
      <c r="A41" s="25" t="s">
        <v>190</v>
      </c>
      <c r="B41" s="34">
        <f>COUNTIF(Lançamentos!$K$2:$K$1000,$A41)</f>
        <v>0</v>
      </c>
      <c r="C41" s="34">
        <f>COUNTIFS(Lançamentos!$K$2:$K$1000,$A41,Lançamentos!$R$2:$R$1000,"Concluído")</f>
        <v>0</v>
      </c>
      <c r="D41" s="35">
        <f>SUMIFS(Lançamentos!$S$2:$S$1000,Lançamentos!$K$2:$K$1000,$A41)</f>
        <v>0</v>
      </c>
      <c r="E41" s="35">
        <f>SUMIFS(Lançamentos!$V$2:$V$1000,Lançamentos!$K$2:$K$1000,$A41)</f>
        <v>0</v>
      </c>
    </row>
    <row r="42" spans="1:5" x14ac:dyDescent="0.35">
      <c r="A42" s="25" t="s">
        <v>191</v>
      </c>
      <c r="B42" s="34">
        <f>COUNTIF(Lançamentos!$K$2:$K$1000,$A42)</f>
        <v>0</v>
      </c>
      <c r="C42" s="34">
        <f>COUNTIFS(Lançamentos!$K$2:$K$1000,$A42,Lançamentos!$R$2:$R$1000,"Concluído")</f>
        <v>0</v>
      </c>
      <c r="D42" s="35">
        <f>SUMIFS(Lançamentos!$S$2:$S$1000,Lançamentos!$K$2:$K$1000,$A42)</f>
        <v>0</v>
      </c>
      <c r="E42" s="35">
        <f>SUMIFS(Lançamentos!$V$2:$V$1000,Lançamentos!$K$2:$K$1000,$A42)</f>
        <v>0</v>
      </c>
    </row>
    <row r="43" spans="1:5" x14ac:dyDescent="0.35">
      <c r="A43" s="25" t="s">
        <v>192</v>
      </c>
      <c r="B43" s="34">
        <f>COUNTIF(Lançamentos!$K$2:$K$1000,$A43)</f>
        <v>0</v>
      </c>
      <c r="C43" s="34">
        <f>COUNTIFS(Lançamentos!$K$2:$K$1000,$A43,Lançamentos!$R$2:$R$1000,"Concluído")</f>
        <v>0</v>
      </c>
      <c r="D43" s="35">
        <f>SUMIFS(Lançamentos!$S$2:$S$1000,Lançamentos!$K$2:$K$1000,$A43)</f>
        <v>0</v>
      </c>
      <c r="E43" s="35">
        <f>SUMIFS(Lançamentos!$V$2:$V$1000,Lançamentos!$K$2:$K$1000,$A43)</f>
        <v>0</v>
      </c>
    </row>
    <row r="44" spans="1:5" x14ac:dyDescent="0.35">
      <c r="A44" s="25" t="s">
        <v>70</v>
      </c>
      <c r="B44" s="34">
        <f>COUNTIF(Lançamentos!$K$2:$K$1000,$A44)</f>
        <v>0</v>
      </c>
      <c r="C44" s="34">
        <f>COUNTIFS(Lançamentos!$K$2:$K$1000,$A44,Lançamentos!$R$2:$R$1000,"Concluído")</f>
        <v>0</v>
      </c>
      <c r="D44" s="35">
        <f>SUMIFS(Lançamentos!$S$2:$S$1000,Lançamentos!$K$2:$K$1000,$A44)</f>
        <v>0</v>
      </c>
      <c r="E44" s="35">
        <f>SUMIFS(Lançamentos!$V$2:$V$1000,Lançamentos!$K$2:$K$1000,$A44)</f>
        <v>0</v>
      </c>
    </row>
    <row r="45" spans="1:5" x14ac:dyDescent="0.35">
      <c r="A45" s="25" t="s">
        <v>193</v>
      </c>
      <c r="B45" s="34">
        <f>COUNTIF(Lançamentos!$K$2:$K$1000,$A45)</f>
        <v>0</v>
      </c>
      <c r="C45" s="34">
        <f>COUNTIFS(Lançamentos!$K$2:$K$1000,$A45,Lançamentos!$R$2:$R$1000,"Concluído")</f>
        <v>0</v>
      </c>
      <c r="D45" s="35">
        <f>SUMIFS(Lançamentos!$S$2:$S$1000,Lançamentos!$K$2:$K$1000,$A45)</f>
        <v>0</v>
      </c>
      <c r="E45" s="35">
        <f>SUMIFS(Lançamentos!$V$2:$V$1000,Lançamentos!$K$2:$K$1000,$A45)</f>
        <v>0</v>
      </c>
    </row>
    <row r="46" spans="1:5" x14ac:dyDescent="0.35">
      <c r="A46" s="25" t="s">
        <v>59</v>
      </c>
      <c r="B46" s="34">
        <f>COUNTIF(Lançamentos!$K$2:$K$1000,$A46)</f>
        <v>0</v>
      </c>
      <c r="C46" s="34">
        <f>COUNTIFS(Lançamentos!$K$2:$K$1000,$A46,Lançamentos!$R$2:$R$1000,"Concluído")</f>
        <v>0</v>
      </c>
      <c r="D46" s="35">
        <f>SUMIFS(Lançamentos!$S$2:$S$1000,Lançamentos!$K$2:$K$1000,$A46)</f>
        <v>0</v>
      </c>
      <c r="E46" s="35">
        <f>SUMIFS(Lançamentos!$V$2:$V$1000,Lançamentos!$K$2:$K$1000,$A46)</f>
        <v>0</v>
      </c>
    </row>
    <row r="47" spans="1:5" x14ac:dyDescent="0.35">
      <c r="A47" s="25" t="s">
        <v>194</v>
      </c>
      <c r="B47" s="34">
        <f>COUNTIF(Lançamentos!$K$2:$K$1000,$A47)</f>
        <v>0</v>
      </c>
      <c r="C47" s="34">
        <f>COUNTIFS(Lançamentos!$K$2:$K$1000,$A47,Lançamentos!$R$2:$R$1000,"Concluído")</f>
        <v>0</v>
      </c>
      <c r="D47" s="35">
        <f>SUMIFS(Lançamentos!$S$2:$S$1000,Lançamentos!$K$2:$K$1000,$A47)</f>
        <v>0</v>
      </c>
      <c r="E47" s="35">
        <f>SUMIFS(Lançamentos!$V$2:$V$1000,Lançamentos!$K$2:$K$1000,$A47)</f>
        <v>0</v>
      </c>
    </row>
  </sheetData>
  <mergeCells count="6">
    <mergeCell ref="A34:E34"/>
    <mergeCell ref="A1:E1"/>
    <mergeCell ref="A2:E2"/>
    <mergeCell ref="A4:E4"/>
    <mergeCell ref="A13:E13"/>
    <mergeCell ref="A25:E2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8"/>
  <sheetViews>
    <sheetView showGridLines="0" zoomScaleNormal="100" workbookViewId="0"/>
  </sheetViews>
  <sheetFormatPr defaultColWidth="8.6328125" defaultRowHeight="14.5" x14ac:dyDescent="0.35"/>
  <cols>
    <col min="1" max="7" width="15" customWidth="1"/>
    <col min="8" max="8" width="24" customWidth="1"/>
    <col min="9" max="9" width="15" customWidth="1"/>
    <col min="10" max="10" width="24" customWidth="1"/>
    <col min="11" max="11" width="19" customWidth="1"/>
    <col min="12" max="12" width="20" customWidth="1"/>
    <col min="13" max="13" width="24" customWidth="1"/>
    <col min="14" max="15" width="18" customWidth="1"/>
    <col min="16" max="17" width="24" customWidth="1"/>
    <col min="18" max="18" width="19" customWidth="1"/>
    <col min="19" max="19" width="15" customWidth="1"/>
    <col min="21" max="21" width="26" customWidth="1"/>
    <col min="22" max="22" width="15" customWidth="1"/>
    <col min="24" max="24" width="26" customWidth="1"/>
    <col min="25" max="25" width="15" customWidth="1"/>
    <col min="27" max="27" width="26" customWidth="1"/>
    <col min="28" max="28" width="15" customWidth="1"/>
    <col min="30" max="30" width="46" customWidth="1"/>
    <col min="31" max="32" width="30" customWidth="1"/>
    <col min="33" max="33" width="46" customWidth="1"/>
    <col min="34" max="38" width="30" customWidth="1"/>
    <col min="40" max="45" width="30" customWidth="1"/>
    <col min="47" max="58" width="26" customWidth="1"/>
  </cols>
  <sheetData>
    <row r="1" spans="1:58" ht="27.75" customHeight="1" x14ac:dyDescent="0.35">
      <c r="A1" s="14" t="s">
        <v>195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x14ac:dyDescent="0.35">
      <c r="A2" s="13" t="s">
        <v>196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4" spans="1:58" x14ac:dyDescent="0.35">
      <c r="A4" s="18" t="s">
        <v>197</v>
      </c>
      <c r="B4" s="18" t="s">
        <v>198</v>
      </c>
      <c r="C4" s="18" t="s">
        <v>45</v>
      </c>
      <c r="D4" s="18" t="s">
        <v>44</v>
      </c>
      <c r="E4" s="18" t="s">
        <v>131</v>
      </c>
      <c r="F4" s="18" t="s">
        <v>199</v>
      </c>
      <c r="G4" s="18" t="s">
        <v>122</v>
      </c>
      <c r="H4" s="18" t="s">
        <v>200</v>
      </c>
      <c r="I4" s="18" t="s">
        <v>201</v>
      </c>
      <c r="J4" s="18" t="s">
        <v>34</v>
      </c>
      <c r="K4" s="18" t="s">
        <v>202</v>
      </c>
      <c r="L4" s="18" t="s">
        <v>41</v>
      </c>
      <c r="M4" s="18" t="s">
        <v>203</v>
      </c>
      <c r="N4" s="18" t="s">
        <v>133</v>
      </c>
      <c r="O4" s="18" t="s">
        <v>109</v>
      </c>
      <c r="P4" s="18" t="s">
        <v>204</v>
      </c>
      <c r="Q4" s="18" t="s">
        <v>205</v>
      </c>
      <c r="R4" s="18" t="s">
        <v>206</v>
      </c>
      <c r="S4" s="18" t="s">
        <v>207</v>
      </c>
      <c r="U4" s="18" t="s">
        <v>208</v>
      </c>
      <c r="V4" s="18" t="s">
        <v>209</v>
      </c>
      <c r="X4" s="18" t="s">
        <v>210</v>
      </c>
      <c r="Y4" s="18" t="s">
        <v>211</v>
      </c>
      <c r="AA4" s="18" t="s">
        <v>212</v>
      </c>
      <c r="AB4" s="18" t="s">
        <v>213</v>
      </c>
      <c r="AD4" s="36" t="s">
        <v>176</v>
      </c>
      <c r="AE4" s="36" t="s">
        <v>55</v>
      </c>
      <c r="AF4" s="36" t="s">
        <v>66</v>
      </c>
      <c r="AG4" s="36" t="s">
        <v>177</v>
      </c>
      <c r="AH4" s="36" t="s">
        <v>178</v>
      </c>
      <c r="AI4" s="36" t="s">
        <v>75</v>
      </c>
      <c r="AJ4" s="36" t="s">
        <v>179</v>
      </c>
      <c r="AK4" s="36" t="s">
        <v>180</v>
      </c>
      <c r="AL4" s="36" t="s">
        <v>181</v>
      </c>
      <c r="AN4" s="36" t="s">
        <v>183</v>
      </c>
      <c r="AO4" s="36" t="s">
        <v>68</v>
      </c>
      <c r="AP4" s="36" t="s">
        <v>184</v>
      </c>
      <c r="AQ4" s="36" t="s">
        <v>57</v>
      </c>
      <c r="AR4" s="36" t="s">
        <v>185</v>
      </c>
      <c r="AS4" s="36" t="s">
        <v>77</v>
      </c>
      <c r="AU4" s="36" t="s">
        <v>187</v>
      </c>
      <c r="AV4" s="36" t="s">
        <v>79</v>
      </c>
      <c r="AW4" s="36" t="s">
        <v>188</v>
      </c>
      <c r="AX4" s="36" t="s">
        <v>189</v>
      </c>
      <c r="AY4" s="36" t="s">
        <v>25</v>
      </c>
      <c r="AZ4" s="36" t="s">
        <v>190</v>
      </c>
      <c r="BA4" s="36" t="s">
        <v>191</v>
      </c>
      <c r="BB4" s="36" t="s">
        <v>192</v>
      </c>
      <c r="BC4" s="36" t="s">
        <v>70</v>
      </c>
      <c r="BD4" s="36" t="s">
        <v>193</v>
      </c>
      <c r="BE4" s="36" t="s">
        <v>59</v>
      </c>
      <c r="BF4" s="36" t="s">
        <v>194</v>
      </c>
    </row>
    <row r="5" spans="1:58" x14ac:dyDescent="0.35">
      <c r="A5" s="25" t="s">
        <v>176</v>
      </c>
      <c r="B5" s="25" t="s">
        <v>54</v>
      </c>
      <c r="C5" s="25" t="s">
        <v>214</v>
      </c>
      <c r="D5" s="25" t="s">
        <v>215</v>
      </c>
      <c r="E5" s="25" t="s">
        <v>216</v>
      </c>
      <c r="F5" s="25" t="s">
        <v>216</v>
      </c>
      <c r="G5" s="25" t="s">
        <v>217</v>
      </c>
      <c r="H5" s="25" t="s">
        <v>218</v>
      </c>
      <c r="I5" s="25" t="s">
        <v>219</v>
      </c>
      <c r="J5" s="25" t="s">
        <v>183</v>
      </c>
      <c r="K5" s="25" t="s">
        <v>187</v>
      </c>
      <c r="L5" s="25" t="s">
        <v>62</v>
      </c>
      <c r="M5" s="25" t="s">
        <v>220</v>
      </c>
      <c r="N5" s="25" t="s">
        <v>221</v>
      </c>
      <c r="O5" s="25" t="s">
        <v>222</v>
      </c>
      <c r="P5" s="25" t="s">
        <v>223</v>
      </c>
      <c r="Q5" s="25" t="s">
        <v>224</v>
      </c>
      <c r="R5" s="25" t="s">
        <v>225</v>
      </c>
      <c r="S5" s="25" t="s">
        <v>226</v>
      </c>
      <c r="U5" s="25" t="s">
        <v>176</v>
      </c>
      <c r="V5" s="25" t="s">
        <v>227</v>
      </c>
      <c r="X5" s="25" t="s">
        <v>183</v>
      </c>
      <c r="Y5" s="25" t="s">
        <v>228</v>
      </c>
      <c r="AA5" s="25" t="s">
        <v>187</v>
      </c>
      <c r="AB5" s="25" t="s">
        <v>229</v>
      </c>
      <c r="AD5" s="25" t="s">
        <v>230</v>
      </c>
      <c r="AE5" s="25" t="s">
        <v>56</v>
      </c>
      <c r="AF5" s="25" t="s">
        <v>231</v>
      </c>
      <c r="AG5" s="25" t="s">
        <v>232</v>
      </c>
      <c r="AH5" s="25" t="s">
        <v>233</v>
      </c>
      <c r="AI5" s="25" t="s">
        <v>234</v>
      </c>
      <c r="AJ5" s="25" t="s">
        <v>235</v>
      </c>
      <c r="AK5" s="25" t="s">
        <v>235</v>
      </c>
      <c r="AL5" s="25" t="s">
        <v>235</v>
      </c>
      <c r="AN5" s="25" t="s">
        <v>236</v>
      </c>
      <c r="AO5" s="25" t="s">
        <v>69</v>
      </c>
      <c r="AP5" s="25" t="s">
        <v>237</v>
      </c>
      <c r="AQ5" s="25" t="s">
        <v>58</v>
      </c>
      <c r="AR5" s="25" t="s">
        <v>238</v>
      </c>
      <c r="AS5" s="25" t="s">
        <v>239</v>
      </c>
      <c r="AU5" s="25" t="s">
        <v>240</v>
      </c>
      <c r="AV5" s="25" t="s">
        <v>80</v>
      </c>
      <c r="AW5" s="25" t="s">
        <v>241</v>
      </c>
      <c r="AX5" s="25" t="s">
        <v>242</v>
      </c>
      <c r="AY5" s="25" t="s">
        <v>243</v>
      </c>
      <c r="AZ5" s="25" t="s">
        <v>244</v>
      </c>
      <c r="BA5" s="25" t="s">
        <v>245</v>
      </c>
      <c r="BB5" s="25" t="s">
        <v>246</v>
      </c>
      <c r="BC5" s="25" t="s">
        <v>71</v>
      </c>
      <c r="BD5" s="25" t="s">
        <v>247</v>
      </c>
      <c r="BE5" s="25" t="s">
        <v>60</v>
      </c>
      <c r="BF5" s="25" t="s">
        <v>248</v>
      </c>
    </row>
    <row r="6" spans="1:58" x14ac:dyDescent="0.35">
      <c r="A6" s="25" t="s">
        <v>55</v>
      </c>
      <c r="B6" s="25" t="s">
        <v>65</v>
      </c>
      <c r="C6" s="25" t="s">
        <v>81</v>
      </c>
      <c r="D6" s="25" t="s">
        <v>72</v>
      </c>
      <c r="E6" s="25" t="s">
        <v>249</v>
      </c>
      <c r="F6" s="25" t="s">
        <v>249</v>
      </c>
      <c r="G6" s="25" t="s">
        <v>250</v>
      </c>
      <c r="H6" s="25" t="s">
        <v>74</v>
      </c>
      <c r="I6" s="25" t="s">
        <v>61</v>
      </c>
      <c r="J6" s="25" t="s">
        <v>68</v>
      </c>
      <c r="K6" s="25" t="s">
        <v>79</v>
      </c>
      <c r="L6" s="25" t="s">
        <v>251</v>
      </c>
      <c r="M6" s="25" t="s">
        <v>252</v>
      </c>
      <c r="N6" s="25" t="s">
        <v>253</v>
      </c>
      <c r="O6" s="25" t="s">
        <v>254</v>
      </c>
      <c r="P6" s="25" t="s">
        <v>255</v>
      </c>
      <c r="Q6" s="25" t="s">
        <v>256</v>
      </c>
      <c r="R6" s="25" t="s">
        <v>257</v>
      </c>
      <c r="S6" s="25" t="s">
        <v>258</v>
      </c>
      <c r="U6" s="25" t="s">
        <v>55</v>
      </c>
      <c r="V6" s="25" t="s">
        <v>259</v>
      </c>
      <c r="X6" s="25" t="s">
        <v>68</v>
      </c>
      <c r="Y6" s="25" t="s">
        <v>260</v>
      </c>
      <c r="AA6" s="25" t="s">
        <v>79</v>
      </c>
      <c r="AB6" s="25" t="s">
        <v>261</v>
      </c>
      <c r="AD6" s="25" t="s">
        <v>262</v>
      </c>
      <c r="AE6" s="25" t="s">
        <v>263</v>
      </c>
      <c r="AF6" s="25" t="s">
        <v>67</v>
      </c>
      <c r="AG6" s="25" t="s">
        <v>264</v>
      </c>
      <c r="AH6" s="25" t="s">
        <v>265</v>
      </c>
      <c r="AI6" s="25" t="s">
        <v>266</v>
      </c>
      <c r="AJ6" s="25" t="s">
        <v>267</v>
      </c>
      <c r="AK6" s="25" t="s">
        <v>268</v>
      </c>
      <c r="AL6" s="25" t="s">
        <v>269</v>
      </c>
      <c r="AN6" s="25" t="s">
        <v>270</v>
      </c>
      <c r="AO6" s="25" t="s">
        <v>271</v>
      </c>
      <c r="AP6" s="25" t="s">
        <v>272</v>
      </c>
      <c r="AQ6" s="25" t="s">
        <v>273</v>
      </c>
      <c r="AR6" s="25" t="s">
        <v>274</v>
      </c>
      <c r="AS6" s="25" t="s">
        <v>275</v>
      </c>
      <c r="AU6" s="25" t="s">
        <v>276</v>
      </c>
      <c r="AV6" s="25" t="s">
        <v>277</v>
      </c>
      <c r="AW6" s="25" t="s">
        <v>278</v>
      </c>
      <c r="AX6" s="25" t="s">
        <v>279</v>
      </c>
      <c r="AY6" s="25" t="s">
        <v>220</v>
      </c>
      <c r="AZ6" s="25" t="s">
        <v>280</v>
      </c>
      <c r="BA6" s="25" t="s">
        <v>281</v>
      </c>
      <c r="BB6" s="25" t="s">
        <v>282</v>
      </c>
      <c r="BC6" s="25" t="s">
        <v>283</v>
      </c>
      <c r="BD6" s="25" t="s">
        <v>284</v>
      </c>
      <c r="BE6" s="25" t="s">
        <v>285</v>
      </c>
      <c r="BF6" s="25" t="s">
        <v>286</v>
      </c>
    </row>
    <row r="7" spans="1:58" x14ac:dyDescent="0.35">
      <c r="A7" s="25" t="s">
        <v>66</v>
      </c>
      <c r="B7" s="25" t="s">
        <v>74</v>
      </c>
      <c r="C7" s="25" t="s">
        <v>287</v>
      </c>
      <c r="D7" s="25" t="s">
        <v>288</v>
      </c>
      <c r="E7" s="25" t="s">
        <v>289</v>
      </c>
      <c r="F7" s="25" t="s">
        <v>289</v>
      </c>
      <c r="G7" s="25" t="s">
        <v>290</v>
      </c>
      <c r="H7" s="25" t="s">
        <v>156</v>
      </c>
      <c r="J7" s="25" t="s">
        <v>184</v>
      </c>
      <c r="K7" s="25" t="s">
        <v>188</v>
      </c>
      <c r="M7" s="25" t="s">
        <v>20</v>
      </c>
      <c r="N7" s="25" t="s">
        <v>291</v>
      </c>
      <c r="O7" s="25" t="s">
        <v>292</v>
      </c>
      <c r="P7" s="25" t="s">
        <v>293</v>
      </c>
      <c r="Q7" s="25" t="s">
        <v>294</v>
      </c>
      <c r="R7" s="25" t="s">
        <v>295</v>
      </c>
      <c r="S7" s="25" t="s">
        <v>296</v>
      </c>
      <c r="U7" s="25" t="s">
        <v>66</v>
      </c>
      <c r="V7" s="25" t="s">
        <v>297</v>
      </c>
      <c r="X7" s="25" t="s">
        <v>184</v>
      </c>
      <c r="Y7" s="25" t="s">
        <v>298</v>
      </c>
      <c r="AA7" s="25" t="s">
        <v>188</v>
      </c>
      <c r="AB7" s="25" t="s">
        <v>299</v>
      </c>
      <c r="AD7" s="25" t="s">
        <v>300</v>
      </c>
      <c r="AE7" s="25" t="s">
        <v>301</v>
      </c>
      <c r="AF7" s="25" t="s">
        <v>302</v>
      </c>
      <c r="AG7" s="25" t="s">
        <v>303</v>
      </c>
      <c r="AH7" s="25" t="s">
        <v>304</v>
      </c>
      <c r="AI7" s="25" t="s">
        <v>305</v>
      </c>
      <c r="AJ7" s="25" t="s">
        <v>306</v>
      </c>
      <c r="AK7" s="25" t="s">
        <v>307</v>
      </c>
      <c r="AL7" s="25" t="s">
        <v>308</v>
      </c>
      <c r="AN7" s="25" t="s">
        <v>309</v>
      </c>
      <c r="AO7" s="25" t="s">
        <v>310</v>
      </c>
      <c r="AP7" s="25" t="s">
        <v>311</v>
      </c>
      <c r="AQ7" s="25" t="s">
        <v>312</v>
      </c>
      <c r="AR7" s="25" t="s">
        <v>313</v>
      </c>
      <c r="AS7" s="25" t="s">
        <v>78</v>
      </c>
      <c r="AU7" s="25" t="s">
        <v>314</v>
      </c>
      <c r="AV7" s="25" t="s">
        <v>315</v>
      </c>
      <c r="AW7" s="25" t="s">
        <v>316</v>
      </c>
      <c r="AX7" s="25" t="s">
        <v>317</v>
      </c>
      <c r="AY7" s="25" t="s">
        <v>252</v>
      </c>
      <c r="AZ7" s="25" t="s">
        <v>318</v>
      </c>
      <c r="BA7" s="25" t="s">
        <v>319</v>
      </c>
      <c r="BB7" s="25" t="s">
        <v>320</v>
      </c>
      <c r="BC7" s="25" t="s">
        <v>321</v>
      </c>
      <c r="BD7" s="25" t="s">
        <v>322</v>
      </c>
      <c r="BE7" s="25" t="s">
        <v>323</v>
      </c>
      <c r="BF7" s="25" t="s">
        <v>324</v>
      </c>
    </row>
    <row r="8" spans="1:58" x14ac:dyDescent="0.35">
      <c r="A8" s="25" t="s">
        <v>177</v>
      </c>
      <c r="C8" s="25" t="s">
        <v>64</v>
      </c>
      <c r="D8" s="25" t="s">
        <v>325</v>
      </c>
      <c r="H8" s="25" t="s">
        <v>326</v>
      </c>
      <c r="J8" s="25" t="s">
        <v>57</v>
      </c>
      <c r="K8" s="25" t="s">
        <v>189</v>
      </c>
      <c r="M8" s="25" t="s">
        <v>327</v>
      </c>
      <c r="N8" s="25" t="s">
        <v>328</v>
      </c>
      <c r="O8" s="25" t="s">
        <v>329</v>
      </c>
      <c r="P8" s="25" t="s">
        <v>330</v>
      </c>
      <c r="Q8" s="25" t="s">
        <v>331</v>
      </c>
      <c r="U8" s="25" t="s">
        <v>177</v>
      </c>
      <c r="V8" s="25" t="s">
        <v>332</v>
      </c>
      <c r="X8" s="25" t="s">
        <v>57</v>
      </c>
      <c r="Y8" s="25" t="s">
        <v>333</v>
      </c>
      <c r="AA8" s="25" t="s">
        <v>189</v>
      </c>
      <c r="AB8" s="25" t="s">
        <v>334</v>
      </c>
      <c r="AD8" s="25" t="s">
        <v>335</v>
      </c>
      <c r="AG8" s="25" t="s">
        <v>336</v>
      </c>
      <c r="AH8" s="25" t="s">
        <v>337</v>
      </c>
      <c r="AI8" s="25" t="s">
        <v>76</v>
      </c>
      <c r="AJ8" s="25" t="s">
        <v>338</v>
      </c>
      <c r="AK8" s="25" t="s">
        <v>339</v>
      </c>
      <c r="AL8" s="25" t="s">
        <v>58</v>
      </c>
      <c r="AN8" s="25" t="s">
        <v>340</v>
      </c>
      <c r="AO8" s="25" t="s">
        <v>341</v>
      </c>
      <c r="AP8" s="25" t="s">
        <v>342</v>
      </c>
      <c r="AQ8" s="25" t="s">
        <v>343</v>
      </c>
      <c r="AR8" s="25" t="s">
        <v>344</v>
      </c>
      <c r="AS8" s="25" t="s">
        <v>345</v>
      </c>
      <c r="AU8" s="25" t="s">
        <v>346</v>
      </c>
      <c r="AV8" s="25" t="s">
        <v>347</v>
      </c>
      <c r="AW8" s="25" t="s">
        <v>348</v>
      </c>
      <c r="AX8" s="25" t="s">
        <v>349</v>
      </c>
      <c r="AY8" s="25" t="s">
        <v>20</v>
      </c>
      <c r="AZ8" s="25" t="s">
        <v>350</v>
      </c>
      <c r="BA8" s="25" t="s">
        <v>351</v>
      </c>
      <c r="BB8" s="25" t="s">
        <v>352</v>
      </c>
      <c r="BC8" s="25" t="s">
        <v>353</v>
      </c>
      <c r="BD8" s="25" t="s">
        <v>354</v>
      </c>
      <c r="BE8" s="25" t="s">
        <v>355</v>
      </c>
      <c r="BF8" s="25" t="s">
        <v>356</v>
      </c>
    </row>
    <row r="9" spans="1:58" x14ac:dyDescent="0.35">
      <c r="A9" s="25" t="s">
        <v>178</v>
      </c>
      <c r="C9" s="25" t="s">
        <v>73</v>
      </c>
      <c r="D9" s="25" t="s">
        <v>63</v>
      </c>
      <c r="H9" s="25" t="s">
        <v>357</v>
      </c>
      <c r="J9" s="25" t="s">
        <v>185</v>
      </c>
      <c r="K9" s="25" t="s">
        <v>25</v>
      </c>
      <c r="M9" s="25" t="s">
        <v>243</v>
      </c>
      <c r="N9" s="25" t="s">
        <v>358</v>
      </c>
      <c r="O9" s="25" t="s">
        <v>359</v>
      </c>
      <c r="P9" s="25" t="s">
        <v>360</v>
      </c>
      <c r="U9" s="25" t="s">
        <v>178</v>
      </c>
      <c r="V9" s="25" t="s">
        <v>361</v>
      </c>
      <c r="X9" s="25" t="s">
        <v>185</v>
      </c>
      <c r="Y9" s="25" t="s">
        <v>362</v>
      </c>
      <c r="AA9" s="25" t="s">
        <v>25</v>
      </c>
      <c r="AB9" s="25" t="s">
        <v>363</v>
      </c>
      <c r="AD9" s="25" t="s">
        <v>364</v>
      </c>
      <c r="AG9" s="25" t="s">
        <v>365</v>
      </c>
      <c r="AH9" s="25" t="s">
        <v>366</v>
      </c>
      <c r="AI9" s="25" t="s">
        <v>367</v>
      </c>
      <c r="AJ9" s="25" t="s">
        <v>368</v>
      </c>
      <c r="AK9" s="25" t="s">
        <v>369</v>
      </c>
      <c r="AL9" s="25" t="s">
        <v>370</v>
      </c>
      <c r="AN9" s="25" t="s">
        <v>371</v>
      </c>
      <c r="AO9" s="25" t="s">
        <v>372</v>
      </c>
      <c r="AP9" s="25" t="s">
        <v>373</v>
      </c>
      <c r="AS9" s="25" t="s">
        <v>374</v>
      </c>
      <c r="AU9" s="25" t="s">
        <v>375</v>
      </c>
      <c r="AV9" s="25" t="s">
        <v>376</v>
      </c>
      <c r="AW9" s="25" t="s">
        <v>377</v>
      </c>
      <c r="AX9" s="25" t="s">
        <v>378</v>
      </c>
      <c r="AY9" s="25" t="s">
        <v>327</v>
      </c>
      <c r="AZ9" s="25" t="s">
        <v>379</v>
      </c>
      <c r="BA9" s="25" t="s">
        <v>380</v>
      </c>
      <c r="BB9" s="25" t="s">
        <v>381</v>
      </c>
      <c r="BC9" s="25" t="s">
        <v>382</v>
      </c>
      <c r="BD9" s="25" t="s">
        <v>383</v>
      </c>
    </row>
    <row r="10" spans="1:58" x14ac:dyDescent="0.35">
      <c r="A10" s="25" t="s">
        <v>75</v>
      </c>
      <c r="C10" s="25" t="s">
        <v>384</v>
      </c>
      <c r="D10" s="25" t="s">
        <v>385</v>
      </c>
      <c r="H10" s="25" t="s">
        <v>386</v>
      </c>
      <c r="J10" s="25" t="s">
        <v>77</v>
      </c>
      <c r="K10" s="25" t="s">
        <v>190</v>
      </c>
      <c r="O10" s="25" t="s">
        <v>387</v>
      </c>
      <c r="P10" s="25" t="s">
        <v>388</v>
      </c>
      <c r="U10" s="25" t="s">
        <v>75</v>
      </c>
      <c r="V10" s="25" t="s">
        <v>389</v>
      </c>
      <c r="X10" s="25" t="s">
        <v>77</v>
      </c>
      <c r="Y10" s="25" t="s">
        <v>390</v>
      </c>
      <c r="AA10" s="25" t="s">
        <v>190</v>
      </c>
      <c r="AB10" s="25" t="s">
        <v>391</v>
      </c>
      <c r="AD10" s="25" t="s">
        <v>392</v>
      </c>
      <c r="AG10" s="25" t="s">
        <v>393</v>
      </c>
      <c r="AH10" s="25" t="s">
        <v>394</v>
      </c>
      <c r="AI10" s="25" t="s">
        <v>395</v>
      </c>
      <c r="AJ10" s="25" t="s">
        <v>396</v>
      </c>
      <c r="AK10" s="25" t="s">
        <v>396</v>
      </c>
      <c r="AL10" s="25" t="s">
        <v>396</v>
      </c>
      <c r="AN10" s="25" t="s">
        <v>397</v>
      </c>
      <c r="AP10" s="25" t="s">
        <v>398</v>
      </c>
      <c r="AS10" s="25" t="s">
        <v>399</v>
      </c>
      <c r="AU10" s="25" t="s">
        <v>400</v>
      </c>
      <c r="AV10" s="25" t="s">
        <v>401</v>
      </c>
      <c r="AW10" s="25" t="s">
        <v>402</v>
      </c>
      <c r="AX10" s="25" t="s">
        <v>403</v>
      </c>
      <c r="AZ10" s="25" t="s">
        <v>404</v>
      </c>
      <c r="BA10" s="25" t="s">
        <v>405</v>
      </c>
      <c r="BB10" s="25" t="s">
        <v>406</v>
      </c>
      <c r="BC10" s="25" t="s">
        <v>407</v>
      </c>
      <c r="BD10" s="25" t="s">
        <v>408</v>
      </c>
    </row>
    <row r="11" spans="1:58" x14ac:dyDescent="0.35">
      <c r="A11" s="25" t="s">
        <v>179</v>
      </c>
      <c r="D11" s="25" t="s">
        <v>409</v>
      </c>
      <c r="H11" s="25" t="s">
        <v>410</v>
      </c>
      <c r="K11" s="25" t="s">
        <v>191</v>
      </c>
      <c r="O11" s="25" t="s">
        <v>411</v>
      </c>
      <c r="P11" s="25" t="s">
        <v>412</v>
      </c>
      <c r="U11" s="25" t="s">
        <v>179</v>
      </c>
      <c r="V11" s="25" t="s">
        <v>413</v>
      </c>
      <c r="AA11" s="25" t="s">
        <v>191</v>
      </c>
      <c r="AB11" s="25" t="s">
        <v>414</v>
      </c>
      <c r="AD11" s="25" t="s">
        <v>415</v>
      </c>
      <c r="AG11" s="25" t="s">
        <v>416</v>
      </c>
      <c r="AH11" s="25" t="s">
        <v>417</v>
      </c>
      <c r="AI11" s="25" t="s">
        <v>396</v>
      </c>
      <c r="AS11" s="25" t="s">
        <v>418</v>
      </c>
      <c r="AU11" s="25" t="s">
        <v>419</v>
      </c>
      <c r="AV11" s="25" t="s">
        <v>420</v>
      </c>
      <c r="AW11" s="25" t="s">
        <v>421</v>
      </c>
      <c r="AX11" s="25" t="s">
        <v>422</v>
      </c>
      <c r="AZ11" s="25" t="s">
        <v>423</v>
      </c>
      <c r="BA11" s="25" t="s">
        <v>424</v>
      </c>
      <c r="BB11" s="25" t="s">
        <v>425</v>
      </c>
      <c r="BC11" s="25" t="s">
        <v>426</v>
      </c>
      <c r="BD11" s="25" t="s">
        <v>427</v>
      </c>
    </row>
    <row r="12" spans="1:58" x14ac:dyDescent="0.35">
      <c r="A12" s="25" t="s">
        <v>180</v>
      </c>
      <c r="K12" s="25" t="s">
        <v>192</v>
      </c>
      <c r="O12" s="25" t="s">
        <v>287</v>
      </c>
      <c r="U12" s="25" t="s">
        <v>180</v>
      </c>
      <c r="V12" s="25" t="s">
        <v>428</v>
      </c>
      <c r="AA12" s="25" t="s">
        <v>192</v>
      </c>
      <c r="AB12" s="25" t="s">
        <v>429</v>
      </c>
      <c r="AD12" s="25" t="s">
        <v>430</v>
      </c>
      <c r="AG12" s="25" t="s">
        <v>431</v>
      </c>
      <c r="AH12" s="25" t="s">
        <v>432</v>
      </c>
      <c r="AU12" s="25" t="s">
        <v>433</v>
      </c>
      <c r="AV12" s="25" t="s">
        <v>434</v>
      </c>
      <c r="AX12" s="25" t="s">
        <v>435</v>
      </c>
      <c r="AZ12" s="25" t="s">
        <v>436</v>
      </c>
      <c r="BA12" s="25" t="s">
        <v>437</v>
      </c>
      <c r="BB12" s="25" t="s">
        <v>438</v>
      </c>
      <c r="BC12" s="25" t="s">
        <v>439</v>
      </c>
      <c r="BD12" s="25" t="s">
        <v>440</v>
      </c>
    </row>
    <row r="13" spans="1:58" x14ac:dyDescent="0.35">
      <c r="A13" s="25" t="s">
        <v>181</v>
      </c>
      <c r="K13" s="25" t="s">
        <v>70</v>
      </c>
      <c r="O13" s="25" t="s">
        <v>441</v>
      </c>
      <c r="U13" s="25" t="s">
        <v>181</v>
      </c>
      <c r="V13" s="25" t="s">
        <v>442</v>
      </c>
      <c r="AA13" s="25" t="s">
        <v>70</v>
      </c>
      <c r="AB13" s="25" t="s">
        <v>443</v>
      </c>
      <c r="AD13" s="25" t="s">
        <v>444</v>
      </c>
      <c r="AG13" s="25" t="s">
        <v>445</v>
      </c>
      <c r="AH13" s="25" t="s">
        <v>306</v>
      </c>
      <c r="AU13" s="25" t="s">
        <v>446</v>
      </c>
      <c r="AV13" s="25" t="s">
        <v>447</v>
      </c>
      <c r="AX13" s="25" t="s">
        <v>448</v>
      </c>
      <c r="BA13" s="25" t="s">
        <v>449</v>
      </c>
      <c r="BB13" s="25" t="s">
        <v>450</v>
      </c>
      <c r="BC13" s="25" t="s">
        <v>451</v>
      </c>
    </row>
    <row r="14" spans="1:58" x14ac:dyDescent="0.35">
      <c r="K14" s="25" t="s">
        <v>193</v>
      </c>
      <c r="O14" s="25" t="s">
        <v>64</v>
      </c>
      <c r="AA14" s="25" t="s">
        <v>193</v>
      </c>
      <c r="AB14" s="25" t="s">
        <v>452</v>
      </c>
      <c r="AD14" s="25" t="s">
        <v>453</v>
      </c>
      <c r="AG14" s="25" t="s">
        <v>454</v>
      </c>
      <c r="AH14" s="25" t="s">
        <v>455</v>
      </c>
      <c r="AU14" s="25" t="s">
        <v>456</v>
      </c>
      <c r="AV14" s="25" t="s">
        <v>457</v>
      </c>
      <c r="AX14" s="25" t="s">
        <v>458</v>
      </c>
      <c r="BA14" s="25" t="s">
        <v>459</v>
      </c>
      <c r="BB14" s="25" t="s">
        <v>460</v>
      </c>
      <c r="BC14" s="25" t="s">
        <v>461</v>
      </c>
    </row>
    <row r="15" spans="1:58" x14ac:dyDescent="0.35">
      <c r="K15" s="25" t="s">
        <v>59</v>
      </c>
      <c r="AA15" s="25" t="s">
        <v>59</v>
      </c>
      <c r="AB15" s="25" t="s">
        <v>462</v>
      </c>
      <c r="AD15" s="25" t="s">
        <v>463</v>
      </c>
      <c r="AG15" s="25" t="s">
        <v>464</v>
      </c>
      <c r="AH15" s="25" t="s">
        <v>396</v>
      </c>
      <c r="AU15" s="25" t="s">
        <v>465</v>
      </c>
      <c r="AV15" s="25" t="s">
        <v>466</v>
      </c>
      <c r="AX15" s="25" t="s">
        <v>467</v>
      </c>
      <c r="BA15" s="25" t="s">
        <v>468</v>
      </c>
      <c r="BB15" s="25" t="s">
        <v>469</v>
      </c>
      <c r="BC15" s="25" t="s">
        <v>470</v>
      </c>
    </row>
    <row r="16" spans="1:58" x14ac:dyDescent="0.35">
      <c r="K16" s="25" t="s">
        <v>194</v>
      </c>
      <c r="AA16" s="25" t="s">
        <v>194</v>
      </c>
      <c r="AB16" s="25" t="s">
        <v>471</v>
      </c>
      <c r="AD16" s="25" t="s">
        <v>472</v>
      </c>
      <c r="AG16" s="25" t="s">
        <v>473</v>
      </c>
      <c r="AV16" s="25" t="s">
        <v>474</v>
      </c>
      <c r="AX16" s="25" t="s">
        <v>475</v>
      </c>
      <c r="BA16" s="25" t="s">
        <v>476</v>
      </c>
      <c r="BC16" s="25" t="s">
        <v>477</v>
      </c>
    </row>
    <row r="17" spans="30:53" x14ac:dyDescent="0.35">
      <c r="AD17" s="25" t="s">
        <v>478</v>
      </c>
      <c r="AG17" s="25" t="s">
        <v>479</v>
      </c>
      <c r="AV17" s="25" t="s">
        <v>480</v>
      </c>
      <c r="AX17" s="25" t="s">
        <v>481</v>
      </c>
      <c r="BA17" s="25" t="s">
        <v>482</v>
      </c>
    </row>
    <row r="18" spans="30:53" x14ac:dyDescent="0.35">
      <c r="AD18" s="25" t="s">
        <v>483</v>
      </c>
      <c r="AG18" s="25" t="s">
        <v>484</v>
      </c>
      <c r="AV18" s="25" t="s">
        <v>485</v>
      </c>
      <c r="AX18" s="25" t="s">
        <v>486</v>
      </c>
      <c r="BA18" s="25" t="s">
        <v>487</v>
      </c>
    </row>
    <row r="19" spans="30:53" x14ac:dyDescent="0.35">
      <c r="AG19" s="25" t="s">
        <v>488</v>
      </c>
      <c r="AX19" s="25" t="s">
        <v>489</v>
      </c>
    </row>
    <row r="20" spans="30:53" x14ac:dyDescent="0.35">
      <c r="AG20" s="25" t="s">
        <v>490</v>
      </c>
      <c r="AX20" s="25" t="s">
        <v>491</v>
      </c>
    </row>
    <row r="21" spans="30:53" x14ac:dyDescent="0.35">
      <c r="AG21" s="25" t="s">
        <v>492</v>
      </c>
      <c r="AX21" s="25" t="s">
        <v>493</v>
      </c>
    </row>
    <row r="22" spans="30:53" x14ac:dyDescent="0.35">
      <c r="AG22" s="25" t="s">
        <v>494</v>
      </c>
      <c r="AX22" s="25" t="s">
        <v>495</v>
      </c>
    </row>
    <row r="23" spans="30:53" x14ac:dyDescent="0.35">
      <c r="AX23" s="25" t="s">
        <v>496</v>
      </c>
    </row>
    <row r="24" spans="30:53" x14ac:dyDescent="0.35">
      <c r="AX24" s="25" t="s">
        <v>497</v>
      </c>
    </row>
    <row r="25" spans="30:53" x14ac:dyDescent="0.35">
      <c r="AX25" s="25" t="s">
        <v>498</v>
      </c>
    </row>
    <row r="40" spans="1:4" x14ac:dyDescent="0.35">
      <c r="A40" s="44" t="s">
        <v>499</v>
      </c>
      <c r="B40" s="44"/>
      <c r="C40" s="44"/>
      <c r="D40" s="44"/>
    </row>
    <row r="41" spans="1:4" x14ac:dyDescent="0.35">
      <c r="A41" s="37" t="s">
        <v>500</v>
      </c>
      <c r="B41" s="37" t="s">
        <v>501</v>
      </c>
    </row>
    <row r="42" spans="1:4" x14ac:dyDescent="0.35">
      <c r="A42" s="25" t="s">
        <v>220</v>
      </c>
      <c r="B42" s="25" t="s">
        <v>502</v>
      </c>
    </row>
    <row r="43" spans="1:4" x14ac:dyDescent="0.35">
      <c r="A43" s="25" t="s">
        <v>252</v>
      </c>
      <c r="B43" s="25" t="s">
        <v>503</v>
      </c>
    </row>
    <row r="44" spans="1:4" x14ac:dyDescent="0.35">
      <c r="A44" s="25" t="s">
        <v>20</v>
      </c>
      <c r="B44" s="25" t="s">
        <v>22</v>
      </c>
    </row>
    <row r="45" spans="1:4" x14ac:dyDescent="0.35">
      <c r="A45" s="25" t="s">
        <v>327</v>
      </c>
      <c r="B45" s="25" t="s">
        <v>504</v>
      </c>
    </row>
    <row r="46" spans="1:4" x14ac:dyDescent="0.35">
      <c r="A46" s="25" t="s">
        <v>243</v>
      </c>
      <c r="B46" s="25" t="s">
        <v>505</v>
      </c>
    </row>
    <row r="47" spans="1:4" ht="15" customHeight="1" x14ac:dyDescent="0.35">
      <c r="A47" s="45" t="s">
        <v>506</v>
      </c>
      <c r="B47" s="45"/>
      <c r="C47" s="45"/>
      <c r="D47" s="45"/>
    </row>
    <row r="48" spans="1:4" x14ac:dyDescent="0.35">
      <c r="A48" s="45"/>
      <c r="B48" s="45"/>
      <c r="C48" s="45"/>
      <c r="D48" s="45"/>
    </row>
  </sheetData>
  <mergeCells count="4">
    <mergeCell ref="A1:BF1"/>
    <mergeCell ref="A2:BF2"/>
    <mergeCell ref="A40:D40"/>
    <mergeCell ref="A47:D48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50</vt:i4>
      </vt:variant>
    </vt:vector>
  </HeadingPairs>
  <TitlesOfParts>
    <vt:vector size="55" baseType="lpstr">
      <vt:lpstr>Leia-me</vt:lpstr>
      <vt:lpstr>Lançamentos</vt:lpstr>
      <vt:lpstr>Acompanhamento Semanal</vt:lpstr>
      <vt:lpstr>Resumo</vt:lpstr>
      <vt:lpstr>Cadastros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Impactos</vt:lpstr>
      <vt:lpstr>MapaEnt</vt:lpstr>
      <vt:lpstr>MapaPessoas</vt:lpstr>
      <vt:lpstr>MapaTemas</vt:lpstr>
      <vt:lpstr>MotivoStatus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2026-07-13T23:40:19Z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2026-07-13T23:40:02Z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63ff8da1-4f02-4405-b316-8f5ef77a93b4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</Properties>
</file>