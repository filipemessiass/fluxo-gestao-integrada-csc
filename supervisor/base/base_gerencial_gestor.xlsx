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ntrole-atividades\base\"/>
    </mc:Choice>
  </mc:AlternateContent>
  <xr:revisionPtr revIDLastSave="0" documentId="13_ncr:1_{3599850C-7A53-47AA-B606-BEEC188C375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eia-me" sheetId="1" r:id="rId1"/>
    <sheet name="Base Gerencial" sheetId="2" r:id="rId2"/>
    <sheet name="Acomp. Equipe" sheetId="3" r:id="rId3"/>
    <sheet name="Acompanhamento Semanal" sheetId="4" r:id="rId4"/>
    <sheet name="Indicadores" sheetId="5" r:id="rId5"/>
    <sheet name="Report" sheetId="6" r:id="rId6"/>
    <sheet name="Cadastros" sheetId="7" r:id="rId7"/>
  </sheets>
  <definedNames>
    <definedName name="_xlnm._FilterDatabase" localSheetId="1" hidden="1">'Base Gerencial'!$A$1:$AJ$2000</definedName>
    <definedName name="AvalDesemp">Cadastros!$Q$5:$Q$8</definedName>
    <definedName name="AvalPrazo">Cadastros!$R$5:$R$7</definedName>
    <definedName name="Beneficios">Cadastros!$H$5:$H$11</definedName>
    <definedName name="CategoriasImped">Cadastros!$P$5:$P$11</definedName>
    <definedName name="Complexidades">Cadastros!$F$5:$F$7</definedName>
    <definedName name="Departamentos">Cadastros!$B$5:$B$7</definedName>
    <definedName name="DeptosCSC">Cadastros!$K$5:$K$16</definedName>
    <definedName name="Empresas">Cadastros!$D$5:$D$11</definedName>
    <definedName name="EntBI">Cadastros!$AQ$5:$AQ$8</definedName>
    <definedName name="EntGov">Cadastros!$AN$5:$AN$10</definedName>
    <definedName name="EntMC">Cadastros!$AO$5:$AO$9</definedName>
    <definedName name="EntOper">Cadastros!$AS$5:$AS$11</definedName>
    <definedName name="EntPMO">Cadastros!$AR$5:$AR$8</definedName>
    <definedName name="EntTD">Cadastros!$AP$5:$AP$10</definedName>
    <definedName name="EquipePI">Cadastros!$M$5:$M$9</definedName>
    <definedName name="Impactos">Cadastros!$G$5:$G$7</definedName>
    <definedName name="MapaEnt">Cadastros!$X$5:$Y$10</definedName>
    <definedName name="MapaPessoas">Cadastros!$AA$5:$AB$16</definedName>
    <definedName name="MapaTemas">Cadastros!$U$5:$V$13</definedName>
    <definedName name="MotivoStatus">Cadastros!$O$5:$O$14</definedName>
    <definedName name="Papeis">Cadastros!$L$5:$L$6</definedName>
    <definedName name="Pes01">Cadastros!$AU$5:$AU$15</definedName>
    <definedName name="Pes02">Cadastros!$AV$5:$AV$18</definedName>
    <definedName name="Pes03">Cadastros!$AW$5:$AW$11</definedName>
    <definedName name="Pes04">Cadastros!$AX$5:$AX$25</definedName>
    <definedName name="Pes05">Cadastros!$AY$5:$AY$9</definedName>
    <definedName name="Pes06">Cadastros!$AZ$5:$AZ$12</definedName>
    <definedName name="Pes07">Cadastros!$BA$5:$BA$18</definedName>
    <definedName name="Pes08">Cadastros!$BB$5:$BB$15</definedName>
    <definedName name="Pes09">Cadastros!$BC$5:$BC$16</definedName>
    <definedName name="Pes10">Cadastros!$BD$5:$BD$12</definedName>
    <definedName name="Pes11">Cadastros!$BE$5:$BE$8</definedName>
    <definedName name="Pes12">Cadastros!$BF$5:$BF$8</definedName>
    <definedName name="Pilares">Cadastros!$J$5:$J$10</definedName>
    <definedName name="Prioridades">Cadastros!$E$5:$E$7</definedName>
    <definedName name="Projetos">Cadastros!$A$5:$A$13</definedName>
    <definedName name="RadarCor">Cadastros!$S$5:$S$7</definedName>
    <definedName name="SimNao">Cadastros!$I$5:$I$6</definedName>
    <definedName name="StatusList">Cadastros!$C$5:$C$10</definedName>
    <definedName name="StatusSemana">Cadastros!$N$5:$N$9</definedName>
    <definedName name="TemaActio">Cadastros!$AK$5:$AK$10</definedName>
    <definedName name="TemaIndMetas">Cadastros!$AL$5:$AL$10</definedName>
    <definedName name="TemaInvestidas">Cadastros!$AJ$5:$AJ$10</definedName>
    <definedName name="TemaLumen">Cadastros!$AD$5:$AD$18</definedName>
    <definedName name="TemaNewsletter">Cadastros!$AG$5:$AG$22</definedName>
    <definedName name="TemaRotinaFC">Cadastros!$AH$5:$AH$15</definedName>
    <definedName name="TemaRotinaFin">Cadastros!$AI$5:$AI$11</definedName>
    <definedName name="TemaSaneamento">Cadastros!$AF$5:$AF$7</definedName>
    <definedName name="TemaV360">Cadastros!$AE$5:$AE$7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6" i="6" l="1"/>
  <c r="A95" i="6"/>
  <c r="A94" i="6"/>
  <c r="A93" i="6"/>
  <c r="A92" i="6"/>
  <c r="A91" i="6"/>
  <c r="A90" i="6"/>
  <c r="A89" i="6"/>
  <c r="A88" i="6"/>
  <c r="B81" i="6"/>
  <c r="B80" i="6"/>
  <c r="A67" i="6"/>
  <c r="A66" i="6"/>
  <c r="A65" i="6"/>
  <c r="A64" i="6"/>
  <c r="A63" i="6"/>
  <c r="A62" i="6"/>
  <c r="A61" i="6"/>
  <c r="A60" i="6"/>
  <c r="A59" i="6"/>
  <c r="A58" i="6"/>
  <c r="A57" i="6"/>
  <c r="A56" i="6"/>
  <c r="A52" i="6"/>
  <c r="A51" i="6"/>
  <c r="A50" i="6"/>
  <c r="A49" i="6"/>
  <c r="A48" i="6"/>
  <c r="A47" i="6"/>
  <c r="A43" i="6"/>
  <c r="A42" i="6"/>
  <c r="A41" i="6"/>
  <c r="A40" i="6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F122" i="5"/>
  <c r="F96" i="6" s="1"/>
  <c r="E122" i="5"/>
  <c r="E96" i="6" s="1"/>
  <c r="D122" i="5"/>
  <c r="D96" i="6" s="1"/>
  <c r="C122" i="5"/>
  <c r="C96" i="6" s="1"/>
  <c r="B122" i="5"/>
  <c r="B96" i="6" s="1"/>
  <c r="F121" i="5"/>
  <c r="F95" i="6" s="1"/>
  <c r="E121" i="5"/>
  <c r="E95" i="6" s="1"/>
  <c r="D121" i="5"/>
  <c r="D95" i="6" s="1"/>
  <c r="C121" i="5"/>
  <c r="C95" i="6" s="1"/>
  <c r="B121" i="5"/>
  <c r="B95" i="6" s="1"/>
  <c r="F120" i="5"/>
  <c r="F94" i="6" s="1"/>
  <c r="E120" i="5"/>
  <c r="E94" i="6" s="1"/>
  <c r="D120" i="5"/>
  <c r="D94" i="6" s="1"/>
  <c r="C120" i="5"/>
  <c r="C94" i="6" s="1"/>
  <c r="B120" i="5"/>
  <c r="B94" i="6" s="1"/>
  <c r="F119" i="5"/>
  <c r="F93" i="6" s="1"/>
  <c r="E119" i="5"/>
  <c r="E93" i="6" s="1"/>
  <c r="D119" i="5"/>
  <c r="D93" i="6" s="1"/>
  <c r="C119" i="5"/>
  <c r="C93" i="6" s="1"/>
  <c r="B119" i="5"/>
  <c r="B93" i="6" s="1"/>
  <c r="F118" i="5"/>
  <c r="F92" i="6" s="1"/>
  <c r="E118" i="5"/>
  <c r="E92" i="6" s="1"/>
  <c r="D118" i="5"/>
  <c r="D92" i="6" s="1"/>
  <c r="C118" i="5"/>
  <c r="C92" i="6" s="1"/>
  <c r="B118" i="5"/>
  <c r="B92" i="6" s="1"/>
  <c r="F117" i="5"/>
  <c r="F91" i="6" s="1"/>
  <c r="E117" i="5"/>
  <c r="E91" i="6" s="1"/>
  <c r="D117" i="5"/>
  <c r="D91" i="6" s="1"/>
  <c r="C117" i="5"/>
  <c r="C91" i="6" s="1"/>
  <c r="B117" i="5"/>
  <c r="B91" i="6" s="1"/>
  <c r="F116" i="5"/>
  <c r="F90" i="6" s="1"/>
  <c r="E116" i="5"/>
  <c r="E90" i="6" s="1"/>
  <c r="D116" i="5"/>
  <c r="D90" i="6" s="1"/>
  <c r="C116" i="5"/>
  <c r="C90" i="6" s="1"/>
  <c r="B116" i="5"/>
  <c r="B90" i="6" s="1"/>
  <c r="F115" i="5"/>
  <c r="F89" i="6" s="1"/>
  <c r="E115" i="5"/>
  <c r="E89" i="6" s="1"/>
  <c r="D115" i="5"/>
  <c r="D89" i="6" s="1"/>
  <c r="C115" i="5"/>
  <c r="C89" i="6" s="1"/>
  <c r="B115" i="5"/>
  <c r="B89" i="6" s="1"/>
  <c r="F114" i="5"/>
  <c r="F88" i="6" s="1"/>
  <c r="E114" i="5"/>
  <c r="E88" i="6" s="1"/>
  <c r="D114" i="5"/>
  <c r="D88" i="6" s="1"/>
  <c r="C114" i="5"/>
  <c r="C88" i="6" s="1"/>
  <c r="B114" i="5"/>
  <c r="B88" i="6" s="1"/>
  <c r="B108" i="5"/>
  <c r="B84" i="6" s="1"/>
  <c r="B107" i="5"/>
  <c r="B106" i="5"/>
  <c r="B83" i="6" s="1"/>
  <c r="B105" i="5"/>
  <c r="B82" i="6" s="1"/>
  <c r="B104" i="5"/>
  <c r="B103" i="5"/>
  <c r="B79" i="6" s="1"/>
  <c r="B102" i="5"/>
  <c r="B78" i="6" s="1"/>
  <c r="B99" i="5"/>
  <c r="B75" i="6" s="1"/>
  <c r="B98" i="5"/>
  <c r="B97" i="5"/>
  <c r="B74" i="6" s="1"/>
  <c r="B96" i="5"/>
  <c r="B73" i="6" s="1"/>
  <c r="B95" i="5"/>
  <c r="B72" i="6" s="1"/>
  <c r="B94" i="5"/>
  <c r="B71" i="6" s="1"/>
  <c r="B93" i="5"/>
  <c r="B70" i="6" s="1"/>
  <c r="E90" i="5"/>
  <c r="E67" i="6" s="1"/>
  <c r="D90" i="5"/>
  <c r="D67" i="6" s="1"/>
  <c r="C90" i="5"/>
  <c r="C67" i="6" s="1"/>
  <c r="B90" i="5"/>
  <c r="B67" i="6" s="1"/>
  <c r="E89" i="5"/>
  <c r="E66" i="6" s="1"/>
  <c r="D89" i="5"/>
  <c r="D66" i="6" s="1"/>
  <c r="C89" i="5"/>
  <c r="C66" i="6" s="1"/>
  <c r="B89" i="5"/>
  <c r="B66" i="6" s="1"/>
  <c r="E88" i="5"/>
  <c r="E65" i="6" s="1"/>
  <c r="D88" i="5"/>
  <c r="D65" i="6" s="1"/>
  <c r="C88" i="5"/>
  <c r="C65" i="6" s="1"/>
  <c r="B88" i="5"/>
  <c r="B65" i="6" s="1"/>
  <c r="E87" i="5"/>
  <c r="E64" i="6" s="1"/>
  <c r="D87" i="5"/>
  <c r="D64" i="6" s="1"/>
  <c r="C87" i="5"/>
  <c r="C64" i="6" s="1"/>
  <c r="B87" i="5"/>
  <c r="B64" i="6" s="1"/>
  <c r="E86" i="5"/>
  <c r="E63" i="6" s="1"/>
  <c r="D86" i="5"/>
  <c r="D63" i="6" s="1"/>
  <c r="C86" i="5"/>
  <c r="C63" i="6" s="1"/>
  <c r="B86" i="5"/>
  <c r="B63" i="6" s="1"/>
  <c r="E85" i="5"/>
  <c r="E62" i="6" s="1"/>
  <c r="D85" i="5"/>
  <c r="D62" i="6" s="1"/>
  <c r="C85" i="5"/>
  <c r="C62" i="6" s="1"/>
  <c r="B85" i="5"/>
  <c r="B62" i="6" s="1"/>
  <c r="E84" i="5"/>
  <c r="E61" i="6" s="1"/>
  <c r="D84" i="5"/>
  <c r="D61" i="6" s="1"/>
  <c r="C84" i="5"/>
  <c r="C61" i="6" s="1"/>
  <c r="B84" i="5"/>
  <c r="B61" i="6" s="1"/>
  <c r="E83" i="5"/>
  <c r="E60" i="6" s="1"/>
  <c r="D83" i="5"/>
  <c r="D60" i="6" s="1"/>
  <c r="C83" i="5"/>
  <c r="C60" i="6" s="1"/>
  <c r="B83" i="5"/>
  <c r="B60" i="6" s="1"/>
  <c r="E82" i="5"/>
  <c r="E59" i="6" s="1"/>
  <c r="D82" i="5"/>
  <c r="D59" i="6" s="1"/>
  <c r="C82" i="5"/>
  <c r="C59" i="6" s="1"/>
  <c r="B82" i="5"/>
  <c r="B59" i="6" s="1"/>
  <c r="E81" i="5"/>
  <c r="E58" i="6" s="1"/>
  <c r="D81" i="5"/>
  <c r="D58" i="6" s="1"/>
  <c r="C81" i="5"/>
  <c r="C58" i="6" s="1"/>
  <c r="B81" i="5"/>
  <c r="B58" i="6" s="1"/>
  <c r="E80" i="5"/>
  <c r="E57" i="6" s="1"/>
  <c r="D80" i="5"/>
  <c r="D57" i="6" s="1"/>
  <c r="C80" i="5"/>
  <c r="C57" i="6" s="1"/>
  <c r="B80" i="5"/>
  <c r="B57" i="6" s="1"/>
  <c r="E79" i="5"/>
  <c r="E56" i="6" s="1"/>
  <c r="D79" i="5"/>
  <c r="D56" i="6" s="1"/>
  <c r="C79" i="5"/>
  <c r="C56" i="6" s="1"/>
  <c r="B79" i="5"/>
  <c r="B56" i="6" s="1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E40" i="5"/>
  <c r="E52" i="6" s="1"/>
  <c r="D40" i="5"/>
  <c r="D52" i="6" s="1"/>
  <c r="C40" i="5"/>
  <c r="C52" i="6" s="1"/>
  <c r="B40" i="5"/>
  <c r="B52" i="6" s="1"/>
  <c r="E39" i="5"/>
  <c r="E51" i="6" s="1"/>
  <c r="D39" i="5"/>
  <c r="D51" i="6" s="1"/>
  <c r="C39" i="5"/>
  <c r="C51" i="6" s="1"/>
  <c r="B39" i="5"/>
  <c r="B51" i="6" s="1"/>
  <c r="E38" i="5"/>
  <c r="E50" i="6" s="1"/>
  <c r="D38" i="5"/>
  <c r="D50" i="6" s="1"/>
  <c r="C38" i="5"/>
  <c r="C50" i="6" s="1"/>
  <c r="B38" i="5"/>
  <c r="B50" i="6" s="1"/>
  <c r="E37" i="5"/>
  <c r="E49" i="6" s="1"/>
  <c r="D37" i="5"/>
  <c r="D49" i="6" s="1"/>
  <c r="C37" i="5"/>
  <c r="C49" i="6" s="1"/>
  <c r="B37" i="5"/>
  <c r="B49" i="6" s="1"/>
  <c r="E36" i="5"/>
  <c r="E48" i="6" s="1"/>
  <c r="D36" i="5"/>
  <c r="D48" i="6" s="1"/>
  <c r="C36" i="5"/>
  <c r="C48" i="6" s="1"/>
  <c r="B36" i="5"/>
  <c r="B48" i="6" s="1"/>
  <c r="E35" i="5"/>
  <c r="E47" i="6" s="1"/>
  <c r="D35" i="5"/>
  <c r="D47" i="6" s="1"/>
  <c r="C35" i="5"/>
  <c r="C47" i="6" s="1"/>
  <c r="B35" i="5"/>
  <c r="B47" i="6" s="1"/>
  <c r="F31" i="5"/>
  <c r="F43" i="6" s="1"/>
  <c r="E31" i="5"/>
  <c r="E43" i="6" s="1"/>
  <c r="D31" i="5"/>
  <c r="D43" i="6" s="1"/>
  <c r="C31" i="5"/>
  <c r="C43" i="6" s="1"/>
  <c r="B31" i="5"/>
  <c r="B43" i="6" s="1"/>
  <c r="F30" i="5"/>
  <c r="F42" i="6" s="1"/>
  <c r="E30" i="5"/>
  <c r="E42" i="6" s="1"/>
  <c r="D30" i="5"/>
  <c r="D42" i="6" s="1"/>
  <c r="C30" i="5"/>
  <c r="C42" i="6" s="1"/>
  <c r="B30" i="5"/>
  <c r="B42" i="6" s="1"/>
  <c r="F29" i="5"/>
  <c r="F41" i="6" s="1"/>
  <c r="E29" i="5"/>
  <c r="E41" i="6" s="1"/>
  <c r="D29" i="5"/>
  <c r="D41" i="6" s="1"/>
  <c r="C29" i="5"/>
  <c r="C41" i="6" s="1"/>
  <c r="B29" i="5"/>
  <c r="B41" i="6" s="1"/>
  <c r="F28" i="5"/>
  <c r="F40" i="6" s="1"/>
  <c r="E28" i="5"/>
  <c r="E40" i="6" s="1"/>
  <c r="D28" i="5"/>
  <c r="D40" i="6" s="1"/>
  <c r="C28" i="5"/>
  <c r="C40" i="6" s="1"/>
  <c r="B28" i="5"/>
  <c r="B40" i="6" s="1"/>
  <c r="B24" i="5"/>
  <c r="B36" i="6" s="1"/>
  <c r="B23" i="5"/>
  <c r="B35" i="6" s="1"/>
  <c r="B22" i="5"/>
  <c r="B34" i="6" s="1"/>
  <c r="B21" i="5"/>
  <c r="B33" i="6" s="1"/>
  <c r="B20" i="5"/>
  <c r="B32" i="6" s="1"/>
  <c r="B19" i="5"/>
  <c r="B31" i="6" s="1"/>
  <c r="B16" i="5"/>
  <c r="B15" i="5"/>
  <c r="B28" i="6" s="1"/>
  <c r="B14" i="5"/>
  <c r="B26" i="6" s="1"/>
  <c r="B13" i="5"/>
  <c r="B25" i="6" s="1"/>
  <c r="B10" i="5"/>
  <c r="B22" i="6" s="1"/>
  <c r="B9" i="5"/>
  <c r="B8" i="5"/>
  <c r="B27" i="6" s="1"/>
  <c r="B7" i="5"/>
  <c r="B6" i="5"/>
  <c r="B21" i="6" s="1"/>
  <c r="B5" i="5"/>
  <c r="B20" i="6" s="1"/>
  <c r="E81" i="4"/>
  <c r="E80" i="4"/>
  <c r="E79" i="4"/>
  <c r="E78" i="4"/>
  <c r="E77" i="4"/>
  <c r="E76" i="4"/>
  <c r="E75" i="4"/>
  <c r="E74" i="4"/>
  <c r="L56" i="4"/>
  <c r="L55" i="4"/>
  <c r="L54" i="4"/>
  <c r="L53" i="4"/>
  <c r="L52" i="4"/>
  <c r="L51" i="4"/>
  <c r="L50" i="4"/>
  <c r="L49" i="4"/>
  <c r="L48" i="4"/>
  <c r="L47" i="4"/>
  <c r="L46" i="4"/>
  <c r="L45" i="4"/>
  <c r="L41" i="4"/>
  <c r="L40" i="4"/>
  <c r="L39" i="4"/>
  <c r="L38" i="4"/>
  <c r="L37" i="4"/>
  <c r="L36" i="4"/>
  <c r="L35" i="4"/>
  <c r="L34" i="4"/>
  <c r="L30" i="4"/>
  <c r="L29" i="4"/>
  <c r="L28" i="4"/>
  <c r="L27" i="4"/>
  <c r="L26" i="4"/>
  <c r="L25" i="4"/>
  <c r="L24" i="4"/>
  <c r="L23" i="4"/>
  <c r="E19" i="4"/>
  <c r="E18" i="4"/>
  <c r="E17" i="4"/>
  <c r="E16" i="4"/>
  <c r="E15" i="4"/>
  <c r="E14" i="4"/>
  <c r="E13" i="4"/>
  <c r="E12" i="4"/>
  <c r="E11" i="4"/>
  <c r="E10" i="4"/>
  <c r="E9" i="4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X2000" i="2"/>
  <c r="W2000" i="2"/>
  <c r="X1999" i="2"/>
  <c r="W1999" i="2"/>
  <c r="X1998" i="2"/>
  <c r="W1998" i="2"/>
  <c r="X1997" i="2"/>
  <c r="W1997" i="2"/>
  <c r="X1996" i="2"/>
  <c r="W1996" i="2"/>
  <c r="X1995" i="2"/>
  <c r="W1995" i="2"/>
  <c r="X1994" i="2"/>
  <c r="W1994" i="2"/>
  <c r="X1993" i="2"/>
  <c r="W1993" i="2"/>
  <c r="X1992" i="2"/>
  <c r="W1992" i="2"/>
  <c r="X1991" i="2"/>
  <c r="W1991" i="2"/>
  <c r="X1990" i="2"/>
  <c r="W1990" i="2"/>
  <c r="X1989" i="2"/>
  <c r="W1989" i="2"/>
  <c r="X1988" i="2"/>
  <c r="W1988" i="2"/>
  <c r="X1987" i="2"/>
  <c r="W1987" i="2"/>
  <c r="X1986" i="2"/>
  <c r="W1986" i="2"/>
  <c r="X1985" i="2"/>
  <c r="W1985" i="2"/>
  <c r="X1984" i="2"/>
  <c r="W1984" i="2"/>
  <c r="X1983" i="2"/>
  <c r="W1983" i="2"/>
  <c r="X1982" i="2"/>
  <c r="W1982" i="2"/>
  <c r="X1981" i="2"/>
  <c r="W1981" i="2"/>
  <c r="X1980" i="2"/>
  <c r="W1980" i="2"/>
  <c r="X1979" i="2"/>
  <c r="W1979" i="2"/>
  <c r="X1978" i="2"/>
  <c r="W1978" i="2"/>
  <c r="X1977" i="2"/>
  <c r="W1977" i="2"/>
  <c r="X1976" i="2"/>
  <c r="W1976" i="2"/>
  <c r="X1975" i="2"/>
  <c r="W1975" i="2"/>
  <c r="X1974" i="2"/>
  <c r="W1974" i="2"/>
  <c r="X1973" i="2"/>
  <c r="W1973" i="2"/>
  <c r="X1972" i="2"/>
  <c r="W1972" i="2"/>
  <c r="X1971" i="2"/>
  <c r="W1971" i="2"/>
  <c r="X1970" i="2"/>
  <c r="W1970" i="2"/>
  <c r="X1969" i="2"/>
  <c r="W1969" i="2"/>
  <c r="X1968" i="2"/>
  <c r="W1968" i="2"/>
  <c r="X1967" i="2"/>
  <c r="W1967" i="2"/>
  <c r="X1966" i="2"/>
  <c r="W1966" i="2"/>
  <c r="X1965" i="2"/>
  <c r="W1965" i="2"/>
  <c r="X1964" i="2"/>
  <c r="W1964" i="2"/>
  <c r="X1963" i="2"/>
  <c r="W1963" i="2"/>
  <c r="X1962" i="2"/>
  <c r="W1962" i="2"/>
  <c r="X1961" i="2"/>
  <c r="W1961" i="2"/>
  <c r="X1960" i="2"/>
  <c r="W1960" i="2"/>
  <c r="X1959" i="2"/>
  <c r="W1959" i="2"/>
  <c r="X1958" i="2"/>
  <c r="W1958" i="2"/>
  <c r="X1957" i="2"/>
  <c r="W1957" i="2"/>
  <c r="X1956" i="2"/>
  <c r="W1956" i="2"/>
  <c r="X1955" i="2"/>
  <c r="W1955" i="2"/>
  <c r="X1954" i="2"/>
  <c r="W1954" i="2"/>
  <c r="X1953" i="2"/>
  <c r="W1953" i="2"/>
  <c r="X1952" i="2"/>
  <c r="W1952" i="2"/>
  <c r="X1951" i="2"/>
  <c r="W1951" i="2"/>
  <c r="X1950" i="2"/>
  <c r="W1950" i="2"/>
  <c r="X1949" i="2"/>
  <c r="W1949" i="2"/>
  <c r="X1948" i="2"/>
  <c r="W1948" i="2"/>
  <c r="X1947" i="2"/>
  <c r="W1947" i="2"/>
  <c r="X1946" i="2"/>
  <c r="W1946" i="2"/>
  <c r="X1945" i="2"/>
  <c r="W1945" i="2"/>
  <c r="X1944" i="2"/>
  <c r="W1944" i="2"/>
  <c r="X1943" i="2"/>
  <c r="W1943" i="2"/>
  <c r="X1942" i="2"/>
  <c r="W1942" i="2"/>
  <c r="X1941" i="2"/>
  <c r="W1941" i="2"/>
  <c r="X1940" i="2"/>
  <c r="W1940" i="2"/>
  <c r="X1939" i="2"/>
  <c r="W1939" i="2"/>
  <c r="X1938" i="2"/>
  <c r="W1938" i="2"/>
  <c r="X1937" i="2"/>
  <c r="W1937" i="2"/>
  <c r="X1936" i="2"/>
  <c r="W1936" i="2"/>
  <c r="X1935" i="2"/>
  <c r="W1935" i="2"/>
  <c r="X1934" i="2"/>
  <c r="W1934" i="2"/>
  <c r="X1933" i="2"/>
  <c r="W1933" i="2"/>
  <c r="X1932" i="2"/>
  <c r="W1932" i="2"/>
  <c r="X1931" i="2"/>
  <c r="W1931" i="2"/>
  <c r="X1930" i="2"/>
  <c r="W1930" i="2"/>
  <c r="X1929" i="2"/>
  <c r="W1929" i="2"/>
  <c r="X1928" i="2"/>
  <c r="W1928" i="2"/>
  <c r="X1927" i="2"/>
  <c r="W1927" i="2"/>
  <c r="X1926" i="2"/>
  <c r="W1926" i="2"/>
  <c r="X1925" i="2"/>
  <c r="W1925" i="2"/>
  <c r="X1924" i="2"/>
  <c r="W1924" i="2"/>
  <c r="X1923" i="2"/>
  <c r="W1923" i="2"/>
  <c r="X1922" i="2"/>
  <c r="W1922" i="2"/>
  <c r="X1921" i="2"/>
  <c r="W1921" i="2"/>
  <c r="X1920" i="2"/>
  <c r="W1920" i="2"/>
  <c r="X1919" i="2"/>
  <c r="W1919" i="2"/>
  <c r="X1918" i="2"/>
  <c r="W1918" i="2"/>
  <c r="X1917" i="2"/>
  <c r="W1917" i="2"/>
  <c r="X1916" i="2"/>
  <c r="W1916" i="2"/>
  <c r="X1915" i="2"/>
  <c r="W1915" i="2"/>
  <c r="X1914" i="2"/>
  <c r="W1914" i="2"/>
  <c r="X1913" i="2"/>
  <c r="W1913" i="2"/>
  <c r="X1912" i="2"/>
  <c r="W1912" i="2"/>
  <c r="X1911" i="2"/>
  <c r="W1911" i="2"/>
  <c r="X1910" i="2"/>
  <c r="W1910" i="2"/>
  <c r="X1909" i="2"/>
  <c r="W1909" i="2"/>
  <c r="X1908" i="2"/>
  <c r="W1908" i="2"/>
  <c r="X1907" i="2"/>
  <c r="W1907" i="2"/>
  <c r="X1906" i="2"/>
  <c r="W1906" i="2"/>
  <c r="X1905" i="2"/>
  <c r="W1905" i="2"/>
  <c r="X1904" i="2"/>
  <c r="W1904" i="2"/>
  <c r="X1903" i="2"/>
  <c r="W1903" i="2"/>
  <c r="X1902" i="2"/>
  <c r="W1902" i="2"/>
  <c r="X1901" i="2"/>
  <c r="W1901" i="2"/>
  <c r="X1900" i="2"/>
  <c r="W1900" i="2"/>
  <c r="X1899" i="2"/>
  <c r="W1899" i="2"/>
  <c r="X1898" i="2"/>
  <c r="W1898" i="2"/>
  <c r="X1897" i="2"/>
  <c r="W1897" i="2"/>
  <c r="X1896" i="2"/>
  <c r="W1896" i="2"/>
  <c r="X1895" i="2"/>
  <c r="W1895" i="2"/>
  <c r="X1894" i="2"/>
  <c r="W1894" i="2"/>
  <c r="X1893" i="2"/>
  <c r="W1893" i="2"/>
  <c r="X1892" i="2"/>
  <c r="W1892" i="2"/>
  <c r="X1891" i="2"/>
  <c r="W1891" i="2"/>
  <c r="X1890" i="2"/>
  <c r="W1890" i="2"/>
  <c r="X1889" i="2"/>
  <c r="W1889" i="2"/>
  <c r="X1888" i="2"/>
  <c r="W1888" i="2"/>
  <c r="X1887" i="2"/>
  <c r="W1887" i="2"/>
  <c r="X1886" i="2"/>
  <c r="W1886" i="2"/>
  <c r="X1885" i="2"/>
  <c r="W1885" i="2"/>
  <c r="X1884" i="2"/>
  <c r="W1884" i="2"/>
  <c r="X1883" i="2"/>
  <c r="W1883" i="2"/>
  <c r="X1882" i="2"/>
  <c r="W1882" i="2"/>
  <c r="X1881" i="2"/>
  <c r="W1881" i="2"/>
  <c r="X1880" i="2"/>
  <c r="W1880" i="2"/>
  <c r="X1879" i="2"/>
  <c r="W1879" i="2"/>
  <c r="X1878" i="2"/>
  <c r="W1878" i="2"/>
  <c r="X1877" i="2"/>
  <c r="W1877" i="2"/>
  <c r="X1876" i="2"/>
  <c r="W1876" i="2"/>
  <c r="X1875" i="2"/>
  <c r="W1875" i="2"/>
  <c r="X1874" i="2"/>
  <c r="W1874" i="2"/>
  <c r="X1873" i="2"/>
  <c r="W1873" i="2"/>
  <c r="X1872" i="2"/>
  <c r="W1872" i="2"/>
  <c r="X1871" i="2"/>
  <c r="W1871" i="2"/>
  <c r="X1870" i="2"/>
  <c r="W1870" i="2"/>
  <c r="X1869" i="2"/>
  <c r="W1869" i="2"/>
  <c r="X1868" i="2"/>
  <c r="W1868" i="2"/>
  <c r="X1867" i="2"/>
  <c r="W1867" i="2"/>
  <c r="X1866" i="2"/>
  <c r="W1866" i="2"/>
  <c r="X1865" i="2"/>
  <c r="W1865" i="2"/>
  <c r="X1864" i="2"/>
  <c r="W1864" i="2"/>
  <c r="X1863" i="2"/>
  <c r="W1863" i="2"/>
  <c r="X1862" i="2"/>
  <c r="W1862" i="2"/>
  <c r="X1861" i="2"/>
  <c r="W1861" i="2"/>
  <c r="X1860" i="2"/>
  <c r="W1860" i="2"/>
  <c r="X1859" i="2"/>
  <c r="W1859" i="2"/>
  <c r="X1858" i="2"/>
  <c r="W1858" i="2"/>
  <c r="X1857" i="2"/>
  <c r="W1857" i="2"/>
  <c r="X1856" i="2"/>
  <c r="W1856" i="2"/>
  <c r="X1855" i="2"/>
  <c r="W1855" i="2"/>
  <c r="X1854" i="2"/>
  <c r="W1854" i="2"/>
  <c r="X1853" i="2"/>
  <c r="W1853" i="2"/>
  <c r="X1852" i="2"/>
  <c r="W1852" i="2"/>
  <c r="X1851" i="2"/>
  <c r="W1851" i="2"/>
  <c r="X1850" i="2"/>
  <c r="W1850" i="2"/>
  <c r="X1849" i="2"/>
  <c r="W1849" i="2"/>
  <c r="X1848" i="2"/>
  <c r="W1848" i="2"/>
  <c r="X1847" i="2"/>
  <c r="W1847" i="2"/>
  <c r="X1846" i="2"/>
  <c r="W1846" i="2"/>
  <c r="X1845" i="2"/>
  <c r="W1845" i="2"/>
  <c r="X1844" i="2"/>
  <c r="W1844" i="2"/>
  <c r="X1843" i="2"/>
  <c r="W1843" i="2"/>
  <c r="X1842" i="2"/>
  <c r="W1842" i="2"/>
  <c r="X1841" i="2"/>
  <c r="W1841" i="2"/>
  <c r="X1840" i="2"/>
  <c r="W1840" i="2"/>
  <c r="X1839" i="2"/>
  <c r="W1839" i="2"/>
  <c r="X1838" i="2"/>
  <c r="W1838" i="2"/>
  <c r="X1837" i="2"/>
  <c r="W1837" i="2"/>
  <c r="X1836" i="2"/>
  <c r="W1836" i="2"/>
  <c r="X1835" i="2"/>
  <c r="W1835" i="2"/>
  <c r="X1834" i="2"/>
  <c r="W1834" i="2"/>
  <c r="X1833" i="2"/>
  <c r="W1833" i="2"/>
  <c r="X1832" i="2"/>
  <c r="W1832" i="2"/>
  <c r="X1831" i="2"/>
  <c r="W1831" i="2"/>
  <c r="X1830" i="2"/>
  <c r="W1830" i="2"/>
  <c r="X1829" i="2"/>
  <c r="W1829" i="2"/>
  <c r="X1828" i="2"/>
  <c r="W1828" i="2"/>
  <c r="X1827" i="2"/>
  <c r="W1827" i="2"/>
  <c r="X1826" i="2"/>
  <c r="W1826" i="2"/>
  <c r="X1825" i="2"/>
  <c r="W1825" i="2"/>
  <c r="X1824" i="2"/>
  <c r="W1824" i="2"/>
  <c r="X1823" i="2"/>
  <c r="W1823" i="2"/>
  <c r="X1822" i="2"/>
  <c r="W1822" i="2"/>
  <c r="X1821" i="2"/>
  <c r="W1821" i="2"/>
  <c r="X1820" i="2"/>
  <c r="W1820" i="2"/>
  <c r="X1819" i="2"/>
  <c r="W1819" i="2"/>
  <c r="X1818" i="2"/>
  <c r="W1818" i="2"/>
  <c r="X1817" i="2"/>
  <c r="W1817" i="2"/>
  <c r="X1816" i="2"/>
  <c r="W1816" i="2"/>
  <c r="X1815" i="2"/>
  <c r="W1815" i="2"/>
  <c r="X1814" i="2"/>
  <c r="W1814" i="2"/>
  <c r="X1813" i="2"/>
  <c r="W1813" i="2"/>
  <c r="X1812" i="2"/>
  <c r="W1812" i="2"/>
  <c r="X1811" i="2"/>
  <c r="W1811" i="2"/>
  <c r="X1810" i="2"/>
  <c r="W1810" i="2"/>
  <c r="X1809" i="2"/>
  <c r="W1809" i="2"/>
  <c r="X1808" i="2"/>
  <c r="W1808" i="2"/>
  <c r="X1807" i="2"/>
  <c r="W1807" i="2"/>
  <c r="X1806" i="2"/>
  <c r="W1806" i="2"/>
  <c r="X1805" i="2"/>
  <c r="W1805" i="2"/>
  <c r="X1804" i="2"/>
  <c r="W1804" i="2"/>
  <c r="X1803" i="2"/>
  <c r="W1803" i="2"/>
  <c r="X1802" i="2"/>
  <c r="W1802" i="2"/>
  <c r="X1801" i="2"/>
  <c r="W1801" i="2"/>
  <c r="X1800" i="2"/>
  <c r="W1800" i="2"/>
  <c r="X1799" i="2"/>
  <c r="W1799" i="2"/>
  <c r="X1798" i="2"/>
  <c r="W1798" i="2"/>
  <c r="X1797" i="2"/>
  <c r="W1797" i="2"/>
  <c r="X1796" i="2"/>
  <c r="W1796" i="2"/>
  <c r="X1795" i="2"/>
  <c r="W1795" i="2"/>
  <c r="X1794" i="2"/>
  <c r="W1794" i="2"/>
  <c r="X1793" i="2"/>
  <c r="W1793" i="2"/>
  <c r="X1792" i="2"/>
  <c r="W1792" i="2"/>
  <c r="X1791" i="2"/>
  <c r="W1791" i="2"/>
  <c r="X1790" i="2"/>
  <c r="W1790" i="2"/>
  <c r="X1789" i="2"/>
  <c r="W1789" i="2"/>
  <c r="X1788" i="2"/>
  <c r="W1788" i="2"/>
  <c r="X1787" i="2"/>
  <c r="W1787" i="2"/>
  <c r="X1786" i="2"/>
  <c r="W1786" i="2"/>
  <c r="X1785" i="2"/>
  <c r="W1785" i="2"/>
  <c r="X1784" i="2"/>
  <c r="W1784" i="2"/>
  <c r="X1783" i="2"/>
  <c r="W1783" i="2"/>
  <c r="X1782" i="2"/>
  <c r="W1782" i="2"/>
  <c r="X1781" i="2"/>
  <c r="W1781" i="2"/>
  <c r="X1780" i="2"/>
  <c r="W1780" i="2"/>
  <c r="X1779" i="2"/>
  <c r="W1779" i="2"/>
  <c r="X1778" i="2"/>
  <c r="W1778" i="2"/>
  <c r="X1777" i="2"/>
  <c r="W1777" i="2"/>
  <c r="X1776" i="2"/>
  <c r="W1776" i="2"/>
  <c r="X1775" i="2"/>
  <c r="W1775" i="2"/>
  <c r="X1774" i="2"/>
  <c r="W1774" i="2"/>
  <c r="X1773" i="2"/>
  <c r="W1773" i="2"/>
  <c r="X1772" i="2"/>
  <c r="W1772" i="2"/>
  <c r="X1771" i="2"/>
  <c r="W1771" i="2"/>
  <c r="X1770" i="2"/>
  <c r="W1770" i="2"/>
  <c r="X1769" i="2"/>
  <c r="W1769" i="2"/>
  <c r="X1768" i="2"/>
  <c r="W1768" i="2"/>
  <c r="X1767" i="2"/>
  <c r="W1767" i="2"/>
  <c r="X1766" i="2"/>
  <c r="W1766" i="2"/>
  <c r="X1765" i="2"/>
  <c r="W1765" i="2"/>
  <c r="X1764" i="2"/>
  <c r="W1764" i="2"/>
  <c r="X1763" i="2"/>
  <c r="W1763" i="2"/>
  <c r="X1762" i="2"/>
  <c r="W1762" i="2"/>
  <c r="X1761" i="2"/>
  <c r="W1761" i="2"/>
  <c r="X1760" i="2"/>
  <c r="W1760" i="2"/>
  <c r="X1759" i="2"/>
  <c r="W1759" i="2"/>
  <c r="X1758" i="2"/>
  <c r="W1758" i="2"/>
  <c r="X1757" i="2"/>
  <c r="W1757" i="2"/>
  <c r="X1756" i="2"/>
  <c r="W1756" i="2"/>
  <c r="X1755" i="2"/>
  <c r="W1755" i="2"/>
  <c r="X1754" i="2"/>
  <c r="W1754" i="2"/>
  <c r="X1753" i="2"/>
  <c r="W1753" i="2"/>
  <c r="X1752" i="2"/>
  <c r="W1752" i="2"/>
  <c r="X1751" i="2"/>
  <c r="W1751" i="2"/>
  <c r="X1750" i="2"/>
  <c r="W1750" i="2"/>
  <c r="X1749" i="2"/>
  <c r="W1749" i="2"/>
  <c r="X1748" i="2"/>
  <c r="W1748" i="2"/>
  <c r="X1747" i="2"/>
  <c r="W1747" i="2"/>
  <c r="X1746" i="2"/>
  <c r="W1746" i="2"/>
  <c r="X1745" i="2"/>
  <c r="W1745" i="2"/>
  <c r="X1744" i="2"/>
  <c r="W1744" i="2"/>
  <c r="X1743" i="2"/>
  <c r="W1743" i="2"/>
  <c r="X1742" i="2"/>
  <c r="W1742" i="2"/>
  <c r="X1741" i="2"/>
  <c r="W1741" i="2"/>
  <c r="X1740" i="2"/>
  <c r="W1740" i="2"/>
  <c r="X1739" i="2"/>
  <c r="W1739" i="2"/>
  <c r="X1738" i="2"/>
  <c r="W1738" i="2"/>
  <c r="X1737" i="2"/>
  <c r="W1737" i="2"/>
  <c r="X1736" i="2"/>
  <c r="W1736" i="2"/>
  <c r="X1735" i="2"/>
  <c r="W1735" i="2"/>
  <c r="X1734" i="2"/>
  <c r="W1734" i="2"/>
  <c r="X1733" i="2"/>
  <c r="W1733" i="2"/>
  <c r="X1732" i="2"/>
  <c r="W1732" i="2"/>
  <c r="X1731" i="2"/>
  <c r="W1731" i="2"/>
  <c r="X1730" i="2"/>
  <c r="W1730" i="2"/>
  <c r="X1729" i="2"/>
  <c r="W1729" i="2"/>
  <c r="X1728" i="2"/>
  <c r="W1728" i="2"/>
  <c r="X1727" i="2"/>
  <c r="W1727" i="2"/>
  <c r="X1726" i="2"/>
  <c r="W1726" i="2"/>
  <c r="X1725" i="2"/>
  <c r="W1725" i="2"/>
  <c r="X1724" i="2"/>
  <c r="W1724" i="2"/>
  <c r="X1723" i="2"/>
  <c r="W1723" i="2"/>
  <c r="X1722" i="2"/>
  <c r="W1722" i="2"/>
  <c r="X1721" i="2"/>
  <c r="W1721" i="2"/>
  <c r="X1720" i="2"/>
  <c r="W1720" i="2"/>
  <c r="X1719" i="2"/>
  <c r="W1719" i="2"/>
  <c r="X1718" i="2"/>
  <c r="W1718" i="2"/>
  <c r="X1717" i="2"/>
  <c r="W1717" i="2"/>
  <c r="X1716" i="2"/>
  <c r="W1716" i="2"/>
  <c r="X1715" i="2"/>
  <c r="W1715" i="2"/>
  <c r="X1714" i="2"/>
  <c r="W1714" i="2"/>
  <c r="X1713" i="2"/>
  <c r="W1713" i="2"/>
  <c r="X1712" i="2"/>
  <c r="W1712" i="2"/>
  <c r="X1711" i="2"/>
  <c r="W1711" i="2"/>
  <c r="X1710" i="2"/>
  <c r="W1710" i="2"/>
  <c r="X1709" i="2"/>
  <c r="W1709" i="2"/>
  <c r="X1708" i="2"/>
  <c r="W1708" i="2"/>
  <c r="X1707" i="2"/>
  <c r="W1707" i="2"/>
  <c r="X1706" i="2"/>
  <c r="W1706" i="2"/>
  <c r="X1705" i="2"/>
  <c r="W1705" i="2"/>
  <c r="X1704" i="2"/>
  <c r="W1704" i="2"/>
  <c r="X1703" i="2"/>
  <c r="W1703" i="2"/>
  <c r="X1702" i="2"/>
  <c r="W1702" i="2"/>
  <c r="X1701" i="2"/>
  <c r="W1701" i="2"/>
  <c r="X1700" i="2"/>
  <c r="W1700" i="2"/>
  <c r="X1699" i="2"/>
  <c r="W1699" i="2"/>
  <c r="X1698" i="2"/>
  <c r="W1698" i="2"/>
  <c r="X1697" i="2"/>
  <c r="W1697" i="2"/>
  <c r="X1696" i="2"/>
  <c r="W1696" i="2"/>
  <c r="X1695" i="2"/>
  <c r="W1695" i="2"/>
  <c r="X1694" i="2"/>
  <c r="W1694" i="2"/>
  <c r="X1693" i="2"/>
  <c r="W1693" i="2"/>
  <c r="X1692" i="2"/>
  <c r="W1692" i="2"/>
  <c r="X1691" i="2"/>
  <c r="W1691" i="2"/>
  <c r="X1690" i="2"/>
  <c r="W1690" i="2"/>
  <c r="X1689" i="2"/>
  <c r="W1689" i="2"/>
  <c r="X1688" i="2"/>
  <c r="W1688" i="2"/>
  <c r="X1687" i="2"/>
  <c r="W1687" i="2"/>
  <c r="X1686" i="2"/>
  <c r="W1686" i="2"/>
  <c r="X1685" i="2"/>
  <c r="W1685" i="2"/>
  <c r="X1684" i="2"/>
  <c r="W1684" i="2"/>
  <c r="X1683" i="2"/>
  <c r="W1683" i="2"/>
  <c r="X1682" i="2"/>
  <c r="W1682" i="2"/>
  <c r="X1681" i="2"/>
  <c r="W1681" i="2"/>
  <c r="X1680" i="2"/>
  <c r="W1680" i="2"/>
  <c r="X1679" i="2"/>
  <c r="W1679" i="2"/>
  <c r="X1678" i="2"/>
  <c r="W1678" i="2"/>
  <c r="X1677" i="2"/>
  <c r="W1677" i="2"/>
  <c r="X1676" i="2"/>
  <c r="W1676" i="2"/>
  <c r="X1675" i="2"/>
  <c r="W1675" i="2"/>
  <c r="X1674" i="2"/>
  <c r="W1674" i="2"/>
  <c r="X1673" i="2"/>
  <c r="W1673" i="2"/>
  <c r="X1672" i="2"/>
  <c r="W1672" i="2"/>
  <c r="X1671" i="2"/>
  <c r="W1671" i="2"/>
  <c r="X1670" i="2"/>
  <c r="W1670" i="2"/>
  <c r="X1669" i="2"/>
  <c r="W1669" i="2"/>
  <c r="X1668" i="2"/>
  <c r="W1668" i="2"/>
  <c r="X1667" i="2"/>
  <c r="W1667" i="2"/>
  <c r="X1666" i="2"/>
  <c r="W1666" i="2"/>
  <c r="X1665" i="2"/>
  <c r="W1665" i="2"/>
  <c r="X1664" i="2"/>
  <c r="W1664" i="2"/>
  <c r="X1663" i="2"/>
  <c r="W1663" i="2"/>
  <c r="X1662" i="2"/>
  <c r="W1662" i="2"/>
  <c r="X1661" i="2"/>
  <c r="W1661" i="2"/>
  <c r="X1660" i="2"/>
  <c r="W1660" i="2"/>
  <c r="X1659" i="2"/>
  <c r="W1659" i="2"/>
  <c r="X1658" i="2"/>
  <c r="W1658" i="2"/>
  <c r="X1657" i="2"/>
  <c r="W1657" i="2"/>
  <c r="X1656" i="2"/>
  <c r="W1656" i="2"/>
  <c r="X1655" i="2"/>
  <c r="W1655" i="2"/>
  <c r="X1654" i="2"/>
  <c r="W1654" i="2"/>
  <c r="X1653" i="2"/>
  <c r="W1653" i="2"/>
  <c r="X1652" i="2"/>
  <c r="W1652" i="2"/>
  <c r="X1651" i="2"/>
  <c r="W1651" i="2"/>
  <c r="X1650" i="2"/>
  <c r="W1650" i="2"/>
  <c r="X1649" i="2"/>
  <c r="W1649" i="2"/>
  <c r="X1648" i="2"/>
  <c r="W1648" i="2"/>
  <c r="X1647" i="2"/>
  <c r="W1647" i="2"/>
  <c r="X1646" i="2"/>
  <c r="W1646" i="2"/>
  <c r="X1645" i="2"/>
  <c r="W1645" i="2"/>
  <c r="X1644" i="2"/>
  <c r="W1644" i="2"/>
  <c r="X1643" i="2"/>
  <c r="W1643" i="2"/>
  <c r="X1642" i="2"/>
  <c r="W1642" i="2"/>
  <c r="X1641" i="2"/>
  <c r="W1641" i="2"/>
  <c r="X1640" i="2"/>
  <c r="W1640" i="2"/>
  <c r="X1639" i="2"/>
  <c r="W1639" i="2"/>
  <c r="X1638" i="2"/>
  <c r="W1638" i="2"/>
  <c r="X1637" i="2"/>
  <c r="W1637" i="2"/>
  <c r="X1636" i="2"/>
  <c r="W1636" i="2"/>
  <c r="X1635" i="2"/>
  <c r="W1635" i="2"/>
  <c r="X1634" i="2"/>
  <c r="W1634" i="2"/>
  <c r="X1633" i="2"/>
  <c r="W1633" i="2"/>
  <c r="X1632" i="2"/>
  <c r="W1632" i="2"/>
  <c r="X1631" i="2"/>
  <c r="W1631" i="2"/>
  <c r="X1630" i="2"/>
  <c r="W1630" i="2"/>
  <c r="X1629" i="2"/>
  <c r="W1629" i="2"/>
  <c r="X1628" i="2"/>
  <c r="W1628" i="2"/>
  <c r="X1627" i="2"/>
  <c r="W1627" i="2"/>
  <c r="X1626" i="2"/>
  <c r="W1626" i="2"/>
  <c r="X1625" i="2"/>
  <c r="W1625" i="2"/>
  <c r="X1624" i="2"/>
  <c r="W1624" i="2"/>
  <c r="X1623" i="2"/>
  <c r="W1623" i="2"/>
  <c r="X1622" i="2"/>
  <c r="W1622" i="2"/>
  <c r="X1621" i="2"/>
  <c r="W1621" i="2"/>
  <c r="X1620" i="2"/>
  <c r="W1620" i="2"/>
  <c r="X1619" i="2"/>
  <c r="W1619" i="2"/>
  <c r="X1618" i="2"/>
  <c r="W1618" i="2"/>
  <c r="X1617" i="2"/>
  <c r="W1617" i="2"/>
  <c r="X1616" i="2"/>
  <c r="W1616" i="2"/>
  <c r="X1615" i="2"/>
  <c r="W1615" i="2"/>
  <c r="X1614" i="2"/>
  <c r="W1614" i="2"/>
  <c r="X1613" i="2"/>
  <c r="W1613" i="2"/>
  <c r="X1612" i="2"/>
  <c r="W1612" i="2"/>
  <c r="X1611" i="2"/>
  <c r="W1611" i="2"/>
  <c r="X1610" i="2"/>
  <c r="W1610" i="2"/>
  <c r="X1609" i="2"/>
  <c r="W1609" i="2"/>
  <c r="X1608" i="2"/>
  <c r="W1608" i="2"/>
  <c r="X1607" i="2"/>
  <c r="W1607" i="2"/>
  <c r="X1606" i="2"/>
  <c r="W1606" i="2"/>
  <c r="X1605" i="2"/>
  <c r="W1605" i="2"/>
  <c r="X1604" i="2"/>
  <c r="W1604" i="2"/>
  <c r="X1603" i="2"/>
  <c r="W1603" i="2"/>
  <c r="X1602" i="2"/>
  <c r="W1602" i="2"/>
  <c r="X1601" i="2"/>
  <c r="W1601" i="2"/>
  <c r="X1600" i="2"/>
  <c r="W1600" i="2"/>
  <c r="X1599" i="2"/>
  <c r="W1599" i="2"/>
  <c r="X1598" i="2"/>
  <c r="W1598" i="2"/>
  <c r="X1597" i="2"/>
  <c r="W1597" i="2"/>
  <c r="X1596" i="2"/>
  <c r="W1596" i="2"/>
  <c r="X1595" i="2"/>
  <c r="W1595" i="2"/>
  <c r="X1594" i="2"/>
  <c r="W1594" i="2"/>
  <c r="X1593" i="2"/>
  <c r="W1593" i="2"/>
  <c r="X1592" i="2"/>
  <c r="W1592" i="2"/>
  <c r="X1591" i="2"/>
  <c r="W1591" i="2"/>
  <c r="X1590" i="2"/>
  <c r="W1590" i="2"/>
  <c r="X1589" i="2"/>
  <c r="W1589" i="2"/>
  <c r="X1588" i="2"/>
  <c r="W1588" i="2"/>
  <c r="X1587" i="2"/>
  <c r="W1587" i="2"/>
  <c r="X1586" i="2"/>
  <c r="W1586" i="2"/>
  <c r="X1585" i="2"/>
  <c r="W1585" i="2"/>
  <c r="X1584" i="2"/>
  <c r="W1584" i="2"/>
  <c r="X1583" i="2"/>
  <c r="W1583" i="2"/>
  <c r="X1582" i="2"/>
  <c r="W1582" i="2"/>
  <c r="X1581" i="2"/>
  <c r="W1581" i="2"/>
  <c r="X1580" i="2"/>
  <c r="W1580" i="2"/>
  <c r="X1579" i="2"/>
  <c r="W1579" i="2"/>
  <c r="X1578" i="2"/>
  <c r="W1578" i="2"/>
  <c r="X1577" i="2"/>
  <c r="W1577" i="2"/>
  <c r="X1576" i="2"/>
  <c r="W1576" i="2"/>
  <c r="X1575" i="2"/>
  <c r="W1575" i="2"/>
  <c r="X1574" i="2"/>
  <c r="W1574" i="2"/>
  <c r="X1573" i="2"/>
  <c r="W1573" i="2"/>
  <c r="X1572" i="2"/>
  <c r="W1572" i="2"/>
  <c r="X1571" i="2"/>
  <c r="W1571" i="2"/>
  <c r="X1570" i="2"/>
  <c r="W1570" i="2"/>
  <c r="X1569" i="2"/>
  <c r="W1569" i="2"/>
  <c r="X1568" i="2"/>
  <c r="W1568" i="2"/>
  <c r="X1567" i="2"/>
  <c r="W1567" i="2"/>
  <c r="X1566" i="2"/>
  <c r="W1566" i="2"/>
  <c r="X1565" i="2"/>
  <c r="W1565" i="2"/>
  <c r="X1564" i="2"/>
  <c r="W1564" i="2"/>
  <c r="X1563" i="2"/>
  <c r="W1563" i="2"/>
  <c r="X1562" i="2"/>
  <c r="W1562" i="2"/>
  <c r="X1561" i="2"/>
  <c r="W1561" i="2"/>
  <c r="X1560" i="2"/>
  <c r="W1560" i="2"/>
  <c r="X1559" i="2"/>
  <c r="W1559" i="2"/>
  <c r="X1558" i="2"/>
  <c r="W1558" i="2"/>
  <c r="X1557" i="2"/>
  <c r="W1557" i="2"/>
  <c r="X1556" i="2"/>
  <c r="W1556" i="2"/>
  <c r="X1555" i="2"/>
  <c r="W1555" i="2"/>
  <c r="X1554" i="2"/>
  <c r="W1554" i="2"/>
  <c r="X1553" i="2"/>
  <c r="W1553" i="2"/>
  <c r="X1552" i="2"/>
  <c r="W1552" i="2"/>
  <c r="X1551" i="2"/>
  <c r="W1551" i="2"/>
  <c r="X1550" i="2"/>
  <c r="W1550" i="2"/>
  <c r="X1549" i="2"/>
  <c r="W1549" i="2"/>
  <c r="X1548" i="2"/>
  <c r="W1548" i="2"/>
  <c r="X1547" i="2"/>
  <c r="W1547" i="2"/>
  <c r="X1546" i="2"/>
  <c r="W1546" i="2"/>
  <c r="X1545" i="2"/>
  <c r="W1545" i="2"/>
  <c r="X1544" i="2"/>
  <c r="W1544" i="2"/>
  <c r="X1543" i="2"/>
  <c r="W1543" i="2"/>
  <c r="X1542" i="2"/>
  <c r="W1542" i="2"/>
  <c r="X1541" i="2"/>
  <c r="W1541" i="2"/>
  <c r="X1540" i="2"/>
  <c r="W1540" i="2"/>
  <c r="X1539" i="2"/>
  <c r="W1539" i="2"/>
  <c r="X1538" i="2"/>
  <c r="W1538" i="2"/>
  <c r="X1537" i="2"/>
  <c r="W1537" i="2"/>
  <c r="X1536" i="2"/>
  <c r="W1536" i="2"/>
  <c r="X1535" i="2"/>
  <c r="W1535" i="2"/>
  <c r="X1534" i="2"/>
  <c r="W1534" i="2"/>
  <c r="X1533" i="2"/>
  <c r="W1533" i="2"/>
  <c r="X1532" i="2"/>
  <c r="W1532" i="2"/>
  <c r="X1531" i="2"/>
  <c r="W1531" i="2"/>
  <c r="X1530" i="2"/>
  <c r="W1530" i="2"/>
  <c r="X1529" i="2"/>
  <c r="W1529" i="2"/>
  <c r="X1528" i="2"/>
  <c r="W1528" i="2"/>
  <c r="X1527" i="2"/>
  <c r="W1527" i="2"/>
  <c r="X1526" i="2"/>
  <c r="W1526" i="2"/>
  <c r="X1525" i="2"/>
  <c r="W1525" i="2"/>
  <c r="X1524" i="2"/>
  <c r="W1524" i="2"/>
  <c r="X1523" i="2"/>
  <c r="W1523" i="2"/>
  <c r="X1522" i="2"/>
  <c r="W1522" i="2"/>
  <c r="X1521" i="2"/>
  <c r="W1521" i="2"/>
  <c r="X1520" i="2"/>
  <c r="W1520" i="2"/>
  <c r="X1519" i="2"/>
  <c r="W1519" i="2"/>
  <c r="X1518" i="2"/>
  <c r="W1518" i="2"/>
  <c r="X1517" i="2"/>
  <c r="W1517" i="2"/>
  <c r="X1516" i="2"/>
  <c r="W1516" i="2"/>
  <c r="X1515" i="2"/>
  <c r="W1515" i="2"/>
  <c r="X1514" i="2"/>
  <c r="W1514" i="2"/>
  <c r="X1513" i="2"/>
  <c r="W1513" i="2"/>
  <c r="X1512" i="2"/>
  <c r="W1512" i="2"/>
  <c r="X1511" i="2"/>
  <c r="W1511" i="2"/>
  <c r="X1510" i="2"/>
  <c r="W1510" i="2"/>
  <c r="X1509" i="2"/>
  <c r="W1509" i="2"/>
  <c r="X1508" i="2"/>
  <c r="W1508" i="2"/>
  <c r="X1507" i="2"/>
  <c r="W1507" i="2"/>
  <c r="X1506" i="2"/>
  <c r="W1506" i="2"/>
  <c r="X1505" i="2"/>
  <c r="W1505" i="2"/>
  <c r="X1504" i="2"/>
  <c r="W1504" i="2"/>
  <c r="X1503" i="2"/>
  <c r="W1503" i="2"/>
  <c r="X1502" i="2"/>
  <c r="W1502" i="2"/>
  <c r="X1501" i="2"/>
  <c r="W1501" i="2"/>
  <c r="X1500" i="2"/>
  <c r="W1500" i="2"/>
  <c r="X1499" i="2"/>
  <c r="W1499" i="2"/>
  <c r="X1498" i="2"/>
  <c r="W1498" i="2"/>
  <c r="X1497" i="2"/>
  <c r="W1497" i="2"/>
  <c r="X1496" i="2"/>
  <c r="W1496" i="2"/>
  <c r="X1495" i="2"/>
  <c r="W1495" i="2"/>
  <c r="X1494" i="2"/>
  <c r="W1494" i="2"/>
  <c r="X1493" i="2"/>
  <c r="W1493" i="2"/>
  <c r="X1492" i="2"/>
  <c r="W1492" i="2"/>
  <c r="X1491" i="2"/>
  <c r="W1491" i="2"/>
  <c r="X1490" i="2"/>
  <c r="W1490" i="2"/>
  <c r="X1489" i="2"/>
  <c r="W1489" i="2"/>
  <c r="X1488" i="2"/>
  <c r="W1488" i="2"/>
  <c r="X1487" i="2"/>
  <c r="W1487" i="2"/>
  <c r="X1486" i="2"/>
  <c r="W1486" i="2"/>
  <c r="X1485" i="2"/>
  <c r="W1485" i="2"/>
  <c r="X1484" i="2"/>
  <c r="W1484" i="2"/>
  <c r="X1483" i="2"/>
  <c r="W1483" i="2"/>
  <c r="X1482" i="2"/>
  <c r="W1482" i="2"/>
  <c r="X1481" i="2"/>
  <c r="W1481" i="2"/>
  <c r="X1480" i="2"/>
  <c r="W1480" i="2"/>
  <c r="X1479" i="2"/>
  <c r="W1479" i="2"/>
  <c r="X1478" i="2"/>
  <c r="W1478" i="2"/>
  <c r="X1477" i="2"/>
  <c r="W1477" i="2"/>
  <c r="X1476" i="2"/>
  <c r="W1476" i="2"/>
  <c r="X1475" i="2"/>
  <c r="W1475" i="2"/>
  <c r="X1474" i="2"/>
  <c r="W1474" i="2"/>
  <c r="X1473" i="2"/>
  <c r="W1473" i="2"/>
  <c r="X1472" i="2"/>
  <c r="W1472" i="2"/>
  <c r="X1471" i="2"/>
  <c r="W1471" i="2"/>
  <c r="X1470" i="2"/>
  <c r="W1470" i="2"/>
  <c r="X1469" i="2"/>
  <c r="W1469" i="2"/>
  <c r="X1468" i="2"/>
  <c r="W1468" i="2"/>
  <c r="X1467" i="2"/>
  <c r="W1467" i="2"/>
  <c r="X1466" i="2"/>
  <c r="W1466" i="2"/>
  <c r="X1465" i="2"/>
  <c r="W1465" i="2"/>
  <c r="X1464" i="2"/>
  <c r="W1464" i="2"/>
  <c r="X1463" i="2"/>
  <c r="W1463" i="2"/>
  <c r="X1462" i="2"/>
  <c r="W1462" i="2"/>
  <c r="X1461" i="2"/>
  <c r="W1461" i="2"/>
  <c r="X1460" i="2"/>
  <c r="W1460" i="2"/>
  <c r="X1459" i="2"/>
  <c r="W1459" i="2"/>
  <c r="X1458" i="2"/>
  <c r="W1458" i="2"/>
  <c r="X1457" i="2"/>
  <c r="W1457" i="2"/>
  <c r="X1456" i="2"/>
  <c r="W1456" i="2"/>
  <c r="X1455" i="2"/>
  <c r="W1455" i="2"/>
  <c r="X1454" i="2"/>
  <c r="W1454" i="2"/>
  <c r="X1453" i="2"/>
  <c r="W1453" i="2"/>
  <c r="X1452" i="2"/>
  <c r="W1452" i="2"/>
  <c r="X1451" i="2"/>
  <c r="W1451" i="2"/>
  <c r="X1450" i="2"/>
  <c r="W1450" i="2"/>
  <c r="X1449" i="2"/>
  <c r="W1449" i="2"/>
  <c r="X1448" i="2"/>
  <c r="W1448" i="2"/>
  <c r="X1447" i="2"/>
  <c r="W1447" i="2"/>
  <c r="X1446" i="2"/>
  <c r="W1446" i="2"/>
  <c r="X1445" i="2"/>
  <c r="W1445" i="2"/>
  <c r="X1444" i="2"/>
  <c r="W1444" i="2"/>
  <c r="X1443" i="2"/>
  <c r="W1443" i="2"/>
  <c r="X1442" i="2"/>
  <c r="W1442" i="2"/>
  <c r="X1441" i="2"/>
  <c r="W1441" i="2"/>
  <c r="X1440" i="2"/>
  <c r="W1440" i="2"/>
  <c r="X1439" i="2"/>
  <c r="W1439" i="2"/>
  <c r="X1438" i="2"/>
  <c r="W1438" i="2"/>
  <c r="X1437" i="2"/>
  <c r="W1437" i="2"/>
  <c r="X1436" i="2"/>
  <c r="W1436" i="2"/>
  <c r="X1435" i="2"/>
  <c r="W1435" i="2"/>
  <c r="X1434" i="2"/>
  <c r="W1434" i="2"/>
  <c r="X1433" i="2"/>
  <c r="W1433" i="2"/>
  <c r="X1432" i="2"/>
  <c r="W1432" i="2"/>
  <c r="X1431" i="2"/>
  <c r="W1431" i="2"/>
  <c r="X1430" i="2"/>
  <c r="W1430" i="2"/>
  <c r="X1429" i="2"/>
  <c r="W1429" i="2"/>
  <c r="X1428" i="2"/>
  <c r="W1428" i="2"/>
  <c r="X1427" i="2"/>
  <c r="W1427" i="2"/>
  <c r="X1426" i="2"/>
  <c r="W1426" i="2"/>
  <c r="X1425" i="2"/>
  <c r="W1425" i="2"/>
  <c r="X1424" i="2"/>
  <c r="W1424" i="2"/>
  <c r="X1423" i="2"/>
  <c r="W1423" i="2"/>
  <c r="X1422" i="2"/>
  <c r="W1422" i="2"/>
  <c r="X1421" i="2"/>
  <c r="W1421" i="2"/>
  <c r="X1420" i="2"/>
  <c r="W1420" i="2"/>
  <c r="X1419" i="2"/>
  <c r="W1419" i="2"/>
  <c r="X1418" i="2"/>
  <c r="W1418" i="2"/>
  <c r="X1417" i="2"/>
  <c r="W1417" i="2"/>
  <c r="X1416" i="2"/>
  <c r="W1416" i="2"/>
  <c r="X1415" i="2"/>
  <c r="W1415" i="2"/>
  <c r="X1414" i="2"/>
  <c r="W1414" i="2"/>
  <c r="X1413" i="2"/>
  <c r="W1413" i="2"/>
  <c r="X1412" i="2"/>
  <c r="W1412" i="2"/>
  <c r="X1411" i="2"/>
  <c r="W1411" i="2"/>
  <c r="X1410" i="2"/>
  <c r="W1410" i="2"/>
  <c r="X1409" i="2"/>
  <c r="W1409" i="2"/>
  <c r="X1408" i="2"/>
  <c r="W1408" i="2"/>
  <c r="X1407" i="2"/>
  <c r="W1407" i="2"/>
  <c r="X1406" i="2"/>
  <c r="W1406" i="2"/>
  <c r="X1405" i="2"/>
  <c r="W1405" i="2"/>
  <c r="X1404" i="2"/>
  <c r="W1404" i="2"/>
  <c r="X1403" i="2"/>
  <c r="W1403" i="2"/>
  <c r="X1402" i="2"/>
  <c r="W1402" i="2"/>
  <c r="X1401" i="2"/>
  <c r="W1401" i="2"/>
  <c r="X1400" i="2"/>
  <c r="W1400" i="2"/>
  <c r="X1399" i="2"/>
  <c r="W1399" i="2"/>
  <c r="X1398" i="2"/>
  <c r="W1398" i="2"/>
  <c r="X1397" i="2"/>
  <c r="W1397" i="2"/>
  <c r="X1396" i="2"/>
  <c r="W1396" i="2"/>
  <c r="X1395" i="2"/>
  <c r="W1395" i="2"/>
  <c r="X1394" i="2"/>
  <c r="W1394" i="2"/>
  <c r="X1393" i="2"/>
  <c r="W1393" i="2"/>
  <c r="X1392" i="2"/>
  <c r="W1392" i="2"/>
  <c r="X1391" i="2"/>
  <c r="W1391" i="2"/>
  <c r="X1390" i="2"/>
  <c r="W1390" i="2"/>
  <c r="X1389" i="2"/>
  <c r="W1389" i="2"/>
  <c r="X1388" i="2"/>
  <c r="W1388" i="2"/>
  <c r="X1387" i="2"/>
  <c r="W1387" i="2"/>
  <c r="X1386" i="2"/>
  <c r="W1386" i="2"/>
  <c r="X1385" i="2"/>
  <c r="W1385" i="2"/>
  <c r="X1384" i="2"/>
  <c r="W1384" i="2"/>
  <c r="X1383" i="2"/>
  <c r="W1383" i="2"/>
  <c r="X1382" i="2"/>
  <c r="W1382" i="2"/>
  <c r="X1381" i="2"/>
  <c r="W1381" i="2"/>
  <c r="X1380" i="2"/>
  <c r="W1380" i="2"/>
  <c r="X1379" i="2"/>
  <c r="W1379" i="2"/>
  <c r="X1378" i="2"/>
  <c r="W1378" i="2"/>
  <c r="X1377" i="2"/>
  <c r="W1377" i="2"/>
  <c r="X1376" i="2"/>
  <c r="W1376" i="2"/>
  <c r="X1375" i="2"/>
  <c r="W1375" i="2"/>
  <c r="X1374" i="2"/>
  <c r="W1374" i="2"/>
  <c r="X1373" i="2"/>
  <c r="W1373" i="2"/>
  <c r="X1372" i="2"/>
  <c r="W1372" i="2"/>
  <c r="X1371" i="2"/>
  <c r="W1371" i="2"/>
  <c r="X1370" i="2"/>
  <c r="W1370" i="2"/>
  <c r="X1369" i="2"/>
  <c r="W1369" i="2"/>
  <c r="X1368" i="2"/>
  <c r="W1368" i="2"/>
  <c r="X1367" i="2"/>
  <c r="W1367" i="2"/>
  <c r="X1366" i="2"/>
  <c r="W1366" i="2"/>
  <c r="X1365" i="2"/>
  <c r="W1365" i="2"/>
  <c r="X1364" i="2"/>
  <c r="W1364" i="2"/>
  <c r="X1363" i="2"/>
  <c r="W1363" i="2"/>
  <c r="X1362" i="2"/>
  <c r="W1362" i="2"/>
  <c r="X1361" i="2"/>
  <c r="W1361" i="2"/>
  <c r="X1360" i="2"/>
  <c r="W1360" i="2"/>
  <c r="X1359" i="2"/>
  <c r="W1359" i="2"/>
  <c r="X1358" i="2"/>
  <c r="W1358" i="2"/>
  <c r="X1357" i="2"/>
  <c r="W1357" i="2"/>
  <c r="X1356" i="2"/>
  <c r="W1356" i="2"/>
  <c r="X1355" i="2"/>
  <c r="W1355" i="2"/>
  <c r="X1354" i="2"/>
  <c r="W1354" i="2"/>
  <c r="X1353" i="2"/>
  <c r="W1353" i="2"/>
  <c r="X1352" i="2"/>
  <c r="W1352" i="2"/>
  <c r="X1351" i="2"/>
  <c r="W1351" i="2"/>
  <c r="X1350" i="2"/>
  <c r="W1350" i="2"/>
  <c r="X1349" i="2"/>
  <c r="W1349" i="2"/>
  <c r="X1348" i="2"/>
  <c r="W1348" i="2"/>
  <c r="X1347" i="2"/>
  <c r="W1347" i="2"/>
  <c r="X1346" i="2"/>
  <c r="W1346" i="2"/>
  <c r="X1345" i="2"/>
  <c r="W1345" i="2"/>
  <c r="X1344" i="2"/>
  <c r="W1344" i="2"/>
  <c r="X1343" i="2"/>
  <c r="W1343" i="2"/>
  <c r="X1342" i="2"/>
  <c r="W1342" i="2"/>
  <c r="X1341" i="2"/>
  <c r="W1341" i="2"/>
  <c r="X1340" i="2"/>
  <c r="W1340" i="2"/>
  <c r="X1339" i="2"/>
  <c r="W1339" i="2"/>
  <c r="X1338" i="2"/>
  <c r="W1338" i="2"/>
  <c r="X1337" i="2"/>
  <c r="W1337" i="2"/>
  <c r="X1336" i="2"/>
  <c r="W1336" i="2"/>
  <c r="X1335" i="2"/>
  <c r="W1335" i="2"/>
  <c r="X1334" i="2"/>
  <c r="W1334" i="2"/>
  <c r="X1333" i="2"/>
  <c r="W1333" i="2"/>
  <c r="X1332" i="2"/>
  <c r="W1332" i="2"/>
  <c r="X1331" i="2"/>
  <c r="W1331" i="2"/>
  <c r="X1330" i="2"/>
  <c r="W1330" i="2"/>
  <c r="X1329" i="2"/>
  <c r="W1329" i="2"/>
  <c r="X1328" i="2"/>
  <c r="W1328" i="2"/>
  <c r="X1327" i="2"/>
  <c r="W1327" i="2"/>
  <c r="X1326" i="2"/>
  <c r="W1326" i="2"/>
  <c r="X1325" i="2"/>
  <c r="W1325" i="2"/>
  <c r="X1324" i="2"/>
  <c r="W1324" i="2"/>
  <c r="X1323" i="2"/>
  <c r="W1323" i="2"/>
  <c r="X1322" i="2"/>
  <c r="W1322" i="2"/>
  <c r="X1321" i="2"/>
  <c r="W1321" i="2"/>
  <c r="X1320" i="2"/>
  <c r="W1320" i="2"/>
  <c r="X1319" i="2"/>
  <c r="W1319" i="2"/>
  <c r="X1318" i="2"/>
  <c r="W1318" i="2"/>
  <c r="X1317" i="2"/>
  <c r="W1317" i="2"/>
  <c r="X1316" i="2"/>
  <c r="W1316" i="2"/>
  <c r="X1315" i="2"/>
  <c r="W1315" i="2"/>
  <c r="X1314" i="2"/>
  <c r="W1314" i="2"/>
  <c r="X1313" i="2"/>
  <c r="W1313" i="2"/>
  <c r="X1312" i="2"/>
  <c r="W1312" i="2"/>
  <c r="X1311" i="2"/>
  <c r="W1311" i="2"/>
  <c r="X1310" i="2"/>
  <c r="W1310" i="2"/>
  <c r="X1309" i="2"/>
  <c r="W1309" i="2"/>
  <c r="X1308" i="2"/>
  <c r="W1308" i="2"/>
  <c r="X1307" i="2"/>
  <c r="W1307" i="2"/>
  <c r="X1306" i="2"/>
  <c r="W1306" i="2"/>
  <c r="X1305" i="2"/>
  <c r="W1305" i="2"/>
  <c r="X1304" i="2"/>
  <c r="W1304" i="2"/>
  <c r="X1303" i="2"/>
  <c r="W1303" i="2"/>
  <c r="X1302" i="2"/>
  <c r="W1302" i="2"/>
  <c r="X1301" i="2"/>
  <c r="W1301" i="2"/>
  <c r="X1300" i="2"/>
  <c r="W1300" i="2"/>
  <c r="X1299" i="2"/>
  <c r="W1299" i="2"/>
  <c r="X1298" i="2"/>
  <c r="W1298" i="2"/>
  <c r="X1297" i="2"/>
  <c r="W1297" i="2"/>
  <c r="X1296" i="2"/>
  <c r="W1296" i="2"/>
  <c r="X1295" i="2"/>
  <c r="W1295" i="2"/>
  <c r="X1294" i="2"/>
  <c r="W1294" i="2"/>
  <c r="X1293" i="2"/>
  <c r="W1293" i="2"/>
  <c r="X1292" i="2"/>
  <c r="W1292" i="2"/>
  <c r="X1291" i="2"/>
  <c r="W1291" i="2"/>
  <c r="X1290" i="2"/>
  <c r="W1290" i="2"/>
  <c r="X1289" i="2"/>
  <c r="W1289" i="2"/>
  <c r="X1288" i="2"/>
  <c r="W1288" i="2"/>
  <c r="X1287" i="2"/>
  <c r="W1287" i="2"/>
  <c r="X1286" i="2"/>
  <c r="W1286" i="2"/>
  <c r="X1285" i="2"/>
  <c r="W1285" i="2"/>
  <c r="X1284" i="2"/>
  <c r="W1284" i="2"/>
  <c r="X1283" i="2"/>
  <c r="W1283" i="2"/>
  <c r="X1282" i="2"/>
  <c r="W1282" i="2"/>
  <c r="X1281" i="2"/>
  <c r="W1281" i="2"/>
  <c r="X1280" i="2"/>
  <c r="W1280" i="2"/>
  <c r="X1279" i="2"/>
  <c r="W1279" i="2"/>
  <c r="X1278" i="2"/>
  <c r="W1278" i="2"/>
  <c r="X1277" i="2"/>
  <c r="W1277" i="2"/>
  <c r="X1276" i="2"/>
  <c r="W1276" i="2"/>
  <c r="X1275" i="2"/>
  <c r="W1275" i="2"/>
  <c r="X1274" i="2"/>
  <c r="W1274" i="2"/>
  <c r="X1273" i="2"/>
  <c r="W1273" i="2"/>
  <c r="X1272" i="2"/>
  <c r="W1272" i="2"/>
  <c r="X1271" i="2"/>
  <c r="W1271" i="2"/>
  <c r="X1270" i="2"/>
  <c r="W1270" i="2"/>
  <c r="X1269" i="2"/>
  <c r="W1269" i="2"/>
  <c r="X1268" i="2"/>
  <c r="W1268" i="2"/>
  <c r="X1267" i="2"/>
  <c r="W1267" i="2"/>
  <c r="X1266" i="2"/>
  <c r="W1266" i="2"/>
  <c r="X1265" i="2"/>
  <c r="W1265" i="2"/>
  <c r="X1264" i="2"/>
  <c r="W1264" i="2"/>
  <c r="X1263" i="2"/>
  <c r="W1263" i="2"/>
  <c r="X1262" i="2"/>
  <c r="W1262" i="2"/>
  <c r="X1261" i="2"/>
  <c r="W1261" i="2"/>
  <c r="X1260" i="2"/>
  <c r="W1260" i="2"/>
  <c r="X1259" i="2"/>
  <c r="W1259" i="2"/>
  <c r="X1258" i="2"/>
  <c r="W1258" i="2"/>
  <c r="X1257" i="2"/>
  <c r="W1257" i="2"/>
  <c r="X1256" i="2"/>
  <c r="W1256" i="2"/>
  <c r="X1255" i="2"/>
  <c r="W1255" i="2"/>
  <c r="X1254" i="2"/>
  <c r="W1254" i="2"/>
  <c r="X1253" i="2"/>
  <c r="W1253" i="2"/>
  <c r="X1252" i="2"/>
  <c r="W1252" i="2"/>
  <c r="X1251" i="2"/>
  <c r="W1251" i="2"/>
  <c r="X1250" i="2"/>
  <c r="W1250" i="2"/>
  <c r="X1249" i="2"/>
  <c r="W1249" i="2"/>
  <c r="X1248" i="2"/>
  <c r="W1248" i="2"/>
  <c r="X1247" i="2"/>
  <c r="W1247" i="2"/>
  <c r="X1246" i="2"/>
  <c r="W1246" i="2"/>
  <c r="X1245" i="2"/>
  <c r="W1245" i="2"/>
  <c r="X1244" i="2"/>
  <c r="W1244" i="2"/>
  <c r="X1243" i="2"/>
  <c r="W1243" i="2"/>
  <c r="X1242" i="2"/>
  <c r="W1242" i="2"/>
  <c r="X1241" i="2"/>
  <c r="W1241" i="2"/>
  <c r="X1240" i="2"/>
  <c r="W1240" i="2"/>
  <c r="X1239" i="2"/>
  <c r="W1239" i="2"/>
  <c r="X1238" i="2"/>
  <c r="W1238" i="2"/>
  <c r="X1237" i="2"/>
  <c r="W1237" i="2"/>
  <c r="X1236" i="2"/>
  <c r="W1236" i="2"/>
  <c r="X1235" i="2"/>
  <c r="W1235" i="2"/>
  <c r="X1234" i="2"/>
  <c r="W1234" i="2"/>
  <c r="X1233" i="2"/>
  <c r="W1233" i="2"/>
  <c r="X1232" i="2"/>
  <c r="W1232" i="2"/>
  <c r="X1231" i="2"/>
  <c r="W1231" i="2"/>
  <c r="X1230" i="2"/>
  <c r="W1230" i="2"/>
  <c r="X1229" i="2"/>
  <c r="W1229" i="2"/>
  <c r="X1228" i="2"/>
  <c r="W1228" i="2"/>
  <c r="X1227" i="2"/>
  <c r="W1227" i="2"/>
  <c r="X1226" i="2"/>
  <c r="W1226" i="2"/>
  <c r="X1225" i="2"/>
  <c r="W1225" i="2"/>
  <c r="X1224" i="2"/>
  <c r="W1224" i="2"/>
  <c r="X1223" i="2"/>
  <c r="W1223" i="2"/>
  <c r="X1222" i="2"/>
  <c r="W1222" i="2"/>
  <c r="X1221" i="2"/>
  <c r="W1221" i="2"/>
  <c r="X1220" i="2"/>
  <c r="W1220" i="2"/>
  <c r="X1219" i="2"/>
  <c r="W1219" i="2"/>
  <c r="X1218" i="2"/>
  <c r="W1218" i="2"/>
  <c r="X1217" i="2"/>
  <c r="W1217" i="2"/>
  <c r="X1216" i="2"/>
  <c r="W1216" i="2"/>
  <c r="X1215" i="2"/>
  <c r="W1215" i="2"/>
  <c r="X1214" i="2"/>
  <c r="W1214" i="2"/>
  <c r="X1213" i="2"/>
  <c r="W1213" i="2"/>
  <c r="X1212" i="2"/>
  <c r="W1212" i="2"/>
  <c r="X1211" i="2"/>
  <c r="W1211" i="2"/>
  <c r="X1210" i="2"/>
  <c r="W1210" i="2"/>
  <c r="X1209" i="2"/>
  <c r="W1209" i="2"/>
  <c r="X1208" i="2"/>
  <c r="W1208" i="2"/>
  <c r="X1207" i="2"/>
  <c r="W1207" i="2"/>
  <c r="X1206" i="2"/>
  <c r="W1206" i="2"/>
  <c r="X1205" i="2"/>
  <c r="W1205" i="2"/>
  <c r="X1204" i="2"/>
  <c r="W1204" i="2"/>
  <c r="X1203" i="2"/>
  <c r="W1203" i="2"/>
  <c r="X1202" i="2"/>
  <c r="W1202" i="2"/>
  <c r="X1201" i="2"/>
  <c r="W1201" i="2"/>
  <c r="X1200" i="2"/>
  <c r="W1200" i="2"/>
  <c r="X1199" i="2"/>
  <c r="W1199" i="2"/>
  <c r="X1198" i="2"/>
  <c r="W1198" i="2"/>
  <c r="X1197" i="2"/>
  <c r="W1197" i="2"/>
  <c r="X1196" i="2"/>
  <c r="W1196" i="2"/>
  <c r="X1195" i="2"/>
  <c r="W1195" i="2"/>
  <c r="X1194" i="2"/>
  <c r="W1194" i="2"/>
  <c r="X1193" i="2"/>
  <c r="W1193" i="2"/>
  <c r="X1192" i="2"/>
  <c r="W1192" i="2"/>
  <c r="X1191" i="2"/>
  <c r="W1191" i="2"/>
  <c r="X1190" i="2"/>
  <c r="W1190" i="2"/>
  <c r="X1189" i="2"/>
  <c r="W1189" i="2"/>
  <c r="X1188" i="2"/>
  <c r="W1188" i="2"/>
  <c r="X1187" i="2"/>
  <c r="W1187" i="2"/>
  <c r="X1186" i="2"/>
  <c r="W1186" i="2"/>
  <c r="X1185" i="2"/>
  <c r="W1185" i="2"/>
  <c r="X1184" i="2"/>
  <c r="W1184" i="2"/>
  <c r="X1183" i="2"/>
  <c r="W1183" i="2"/>
  <c r="X1182" i="2"/>
  <c r="W1182" i="2"/>
  <c r="X1181" i="2"/>
  <c r="W1181" i="2"/>
  <c r="X1180" i="2"/>
  <c r="W1180" i="2"/>
  <c r="X1179" i="2"/>
  <c r="W1179" i="2"/>
  <c r="X1178" i="2"/>
  <c r="W1178" i="2"/>
  <c r="X1177" i="2"/>
  <c r="W1177" i="2"/>
  <c r="X1176" i="2"/>
  <c r="W1176" i="2"/>
  <c r="X1175" i="2"/>
  <c r="W1175" i="2"/>
  <c r="X1174" i="2"/>
  <c r="W1174" i="2"/>
  <c r="X1173" i="2"/>
  <c r="W1173" i="2"/>
  <c r="X1172" i="2"/>
  <c r="W1172" i="2"/>
  <c r="X1171" i="2"/>
  <c r="W1171" i="2"/>
  <c r="X1170" i="2"/>
  <c r="W1170" i="2"/>
  <c r="X1169" i="2"/>
  <c r="W1169" i="2"/>
  <c r="X1168" i="2"/>
  <c r="W1168" i="2"/>
  <c r="X1167" i="2"/>
  <c r="W1167" i="2"/>
  <c r="X1166" i="2"/>
  <c r="W1166" i="2"/>
  <c r="X1165" i="2"/>
  <c r="W1165" i="2"/>
  <c r="X1164" i="2"/>
  <c r="W1164" i="2"/>
  <c r="X1163" i="2"/>
  <c r="W1163" i="2"/>
  <c r="X1162" i="2"/>
  <c r="W1162" i="2"/>
  <c r="X1161" i="2"/>
  <c r="W1161" i="2"/>
  <c r="X1160" i="2"/>
  <c r="W1160" i="2"/>
  <c r="X1159" i="2"/>
  <c r="W1159" i="2"/>
  <c r="X1158" i="2"/>
  <c r="W1158" i="2"/>
  <c r="X1157" i="2"/>
  <c r="W1157" i="2"/>
  <c r="X1156" i="2"/>
  <c r="W1156" i="2"/>
  <c r="X1155" i="2"/>
  <c r="W1155" i="2"/>
  <c r="X1154" i="2"/>
  <c r="W1154" i="2"/>
  <c r="X1153" i="2"/>
  <c r="W1153" i="2"/>
  <c r="X1152" i="2"/>
  <c r="W1152" i="2"/>
  <c r="X1151" i="2"/>
  <c r="W1151" i="2"/>
  <c r="X1150" i="2"/>
  <c r="W1150" i="2"/>
  <c r="X1149" i="2"/>
  <c r="W1149" i="2"/>
  <c r="X1148" i="2"/>
  <c r="W1148" i="2"/>
  <c r="X1147" i="2"/>
  <c r="W1147" i="2"/>
  <c r="X1146" i="2"/>
  <c r="W1146" i="2"/>
  <c r="X1145" i="2"/>
  <c r="W1145" i="2"/>
  <c r="X1144" i="2"/>
  <c r="W1144" i="2"/>
  <c r="X1143" i="2"/>
  <c r="W1143" i="2"/>
  <c r="X1142" i="2"/>
  <c r="W1142" i="2"/>
  <c r="X1141" i="2"/>
  <c r="W1141" i="2"/>
  <c r="X1140" i="2"/>
  <c r="W1140" i="2"/>
  <c r="X1139" i="2"/>
  <c r="W1139" i="2"/>
  <c r="X1138" i="2"/>
  <c r="W1138" i="2"/>
  <c r="X1137" i="2"/>
  <c r="W1137" i="2"/>
  <c r="X1136" i="2"/>
  <c r="W1136" i="2"/>
  <c r="X1135" i="2"/>
  <c r="W1135" i="2"/>
  <c r="X1134" i="2"/>
  <c r="W1134" i="2"/>
  <c r="X1133" i="2"/>
  <c r="W1133" i="2"/>
  <c r="X1132" i="2"/>
  <c r="W1132" i="2"/>
  <c r="X1131" i="2"/>
  <c r="W1131" i="2"/>
  <c r="X1130" i="2"/>
  <c r="W1130" i="2"/>
  <c r="X1129" i="2"/>
  <c r="W1129" i="2"/>
  <c r="X1128" i="2"/>
  <c r="W1128" i="2"/>
  <c r="X1127" i="2"/>
  <c r="W1127" i="2"/>
  <c r="X1126" i="2"/>
  <c r="W1126" i="2"/>
  <c r="X1125" i="2"/>
  <c r="W1125" i="2"/>
  <c r="X1124" i="2"/>
  <c r="W1124" i="2"/>
  <c r="X1123" i="2"/>
  <c r="W1123" i="2"/>
  <c r="X1122" i="2"/>
  <c r="W1122" i="2"/>
  <c r="X1121" i="2"/>
  <c r="W1121" i="2"/>
  <c r="X1120" i="2"/>
  <c r="W1120" i="2"/>
  <c r="X1119" i="2"/>
  <c r="W1119" i="2"/>
  <c r="X1118" i="2"/>
  <c r="W1118" i="2"/>
  <c r="X1117" i="2"/>
  <c r="W1117" i="2"/>
  <c r="X1116" i="2"/>
  <c r="W1116" i="2"/>
  <c r="X1115" i="2"/>
  <c r="W1115" i="2"/>
  <c r="X1114" i="2"/>
  <c r="W1114" i="2"/>
  <c r="X1113" i="2"/>
  <c r="W1113" i="2"/>
  <c r="X1112" i="2"/>
  <c r="W1112" i="2"/>
  <c r="X1111" i="2"/>
  <c r="W1111" i="2"/>
  <c r="X1110" i="2"/>
  <c r="W1110" i="2"/>
  <c r="X1109" i="2"/>
  <c r="W1109" i="2"/>
  <c r="X1108" i="2"/>
  <c r="W1108" i="2"/>
  <c r="X1107" i="2"/>
  <c r="W1107" i="2"/>
  <c r="X1106" i="2"/>
  <c r="W1106" i="2"/>
  <c r="X1105" i="2"/>
  <c r="W1105" i="2"/>
  <c r="X1104" i="2"/>
  <c r="W1104" i="2"/>
  <c r="X1103" i="2"/>
  <c r="W1103" i="2"/>
  <c r="X1102" i="2"/>
  <c r="W1102" i="2"/>
  <c r="X1101" i="2"/>
  <c r="W1101" i="2"/>
  <c r="X1100" i="2"/>
  <c r="W1100" i="2"/>
  <c r="X1099" i="2"/>
  <c r="W1099" i="2"/>
  <c r="X1098" i="2"/>
  <c r="W1098" i="2"/>
  <c r="X1097" i="2"/>
  <c r="W1097" i="2"/>
  <c r="X1096" i="2"/>
  <c r="W1096" i="2"/>
  <c r="X1095" i="2"/>
  <c r="W1095" i="2"/>
  <c r="X1094" i="2"/>
  <c r="W1094" i="2"/>
  <c r="X1093" i="2"/>
  <c r="W1093" i="2"/>
  <c r="X1092" i="2"/>
  <c r="W1092" i="2"/>
  <c r="X1091" i="2"/>
  <c r="W1091" i="2"/>
  <c r="X1090" i="2"/>
  <c r="W1090" i="2"/>
  <c r="X1089" i="2"/>
  <c r="W1089" i="2"/>
  <c r="X1088" i="2"/>
  <c r="W1088" i="2"/>
  <c r="X1087" i="2"/>
  <c r="W1087" i="2"/>
  <c r="X1086" i="2"/>
  <c r="W1086" i="2"/>
  <c r="X1085" i="2"/>
  <c r="W1085" i="2"/>
  <c r="X1084" i="2"/>
  <c r="W1084" i="2"/>
  <c r="X1083" i="2"/>
  <c r="W1083" i="2"/>
  <c r="X1082" i="2"/>
  <c r="W1082" i="2"/>
  <c r="X1081" i="2"/>
  <c r="W1081" i="2"/>
  <c r="X1080" i="2"/>
  <c r="W1080" i="2"/>
  <c r="X1079" i="2"/>
  <c r="W1079" i="2"/>
  <c r="X1078" i="2"/>
  <c r="W1078" i="2"/>
  <c r="X1077" i="2"/>
  <c r="W1077" i="2"/>
  <c r="X1076" i="2"/>
  <c r="W1076" i="2"/>
  <c r="X1075" i="2"/>
  <c r="W1075" i="2"/>
  <c r="X1074" i="2"/>
  <c r="W1074" i="2"/>
  <c r="X1073" i="2"/>
  <c r="W1073" i="2"/>
  <c r="X1072" i="2"/>
  <c r="W1072" i="2"/>
  <c r="X1071" i="2"/>
  <c r="W1071" i="2"/>
  <c r="X1070" i="2"/>
  <c r="W1070" i="2"/>
  <c r="X1069" i="2"/>
  <c r="W1069" i="2"/>
  <c r="X1068" i="2"/>
  <c r="W1068" i="2"/>
  <c r="X1067" i="2"/>
  <c r="W1067" i="2"/>
  <c r="X1066" i="2"/>
  <c r="W1066" i="2"/>
  <c r="X1065" i="2"/>
  <c r="W1065" i="2"/>
  <c r="X1064" i="2"/>
  <c r="W1064" i="2"/>
  <c r="X1063" i="2"/>
  <c r="W1063" i="2"/>
  <c r="X1062" i="2"/>
  <c r="W1062" i="2"/>
  <c r="X1061" i="2"/>
  <c r="W1061" i="2"/>
  <c r="X1060" i="2"/>
  <c r="W1060" i="2"/>
  <c r="X1059" i="2"/>
  <c r="W1059" i="2"/>
  <c r="X1058" i="2"/>
  <c r="W1058" i="2"/>
  <c r="X1057" i="2"/>
  <c r="W1057" i="2"/>
  <c r="X1056" i="2"/>
  <c r="W1056" i="2"/>
  <c r="X1055" i="2"/>
  <c r="W1055" i="2"/>
  <c r="X1054" i="2"/>
  <c r="W1054" i="2"/>
  <c r="X1053" i="2"/>
  <c r="W1053" i="2"/>
  <c r="X1052" i="2"/>
  <c r="W1052" i="2"/>
  <c r="X1051" i="2"/>
  <c r="W1051" i="2"/>
  <c r="X1050" i="2"/>
  <c r="W1050" i="2"/>
  <c r="X1049" i="2"/>
  <c r="W1049" i="2"/>
  <c r="X1048" i="2"/>
  <c r="W1048" i="2"/>
  <c r="X1047" i="2"/>
  <c r="W1047" i="2"/>
  <c r="X1046" i="2"/>
  <c r="W1046" i="2"/>
  <c r="X1045" i="2"/>
  <c r="W1045" i="2"/>
  <c r="X1044" i="2"/>
  <c r="W1044" i="2"/>
  <c r="X1043" i="2"/>
  <c r="W1043" i="2"/>
  <c r="X1042" i="2"/>
  <c r="W1042" i="2"/>
  <c r="X1041" i="2"/>
  <c r="W1041" i="2"/>
  <c r="X1040" i="2"/>
  <c r="W1040" i="2"/>
  <c r="X1039" i="2"/>
  <c r="W1039" i="2"/>
  <c r="X1038" i="2"/>
  <c r="W1038" i="2"/>
  <c r="X1037" i="2"/>
  <c r="W1037" i="2"/>
  <c r="X1036" i="2"/>
  <c r="W1036" i="2"/>
  <c r="X1035" i="2"/>
  <c r="W1035" i="2"/>
  <c r="X1034" i="2"/>
  <c r="W1034" i="2"/>
  <c r="X1033" i="2"/>
  <c r="W1033" i="2"/>
  <c r="X1032" i="2"/>
  <c r="W1032" i="2"/>
  <c r="X1031" i="2"/>
  <c r="W1031" i="2"/>
  <c r="X1030" i="2"/>
  <c r="W1030" i="2"/>
  <c r="X1029" i="2"/>
  <c r="W1029" i="2"/>
  <c r="X1028" i="2"/>
  <c r="W1028" i="2"/>
  <c r="X1027" i="2"/>
  <c r="W1027" i="2"/>
  <c r="X1026" i="2"/>
  <c r="W1026" i="2"/>
  <c r="X1025" i="2"/>
  <c r="W1025" i="2"/>
  <c r="X1024" i="2"/>
  <c r="W1024" i="2"/>
  <c r="X1023" i="2"/>
  <c r="W1023" i="2"/>
  <c r="X1022" i="2"/>
  <c r="W1022" i="2"/>
  <c r="X1021" i="2"/>
  <c r="W1021" i="2"/>
  <c r="X1020" i="2"/>
  <c r="W1020" i="2"/>
  <c r="X1019" i="2"/>
  <c r="W1019" i="2"/>
  <c r="X1018" i="2"/>
  <c r="W1018" i="2"/>
  <c r="X1017" i="2"/>
  <c r="W1017" i="2"/>
  <c r="X1016" i="2"/>
  <c r="W1016" i="2"/>
  <c r="X1015" i="2"/>
  <c r="W1015" i="2"/>
  <c r="X1014" i="2"/>
  <c r="W1014" i="2"/>
  <c r="X1013" i="2"/>
  <c r="W1013" i="2"/>
  <c r="X1012" i="2"/>
  <c r="W1012" i="2"/>
  <c r="X1011" i="2"/>
  <c r="W1011" i="2"/>
  <c r="X1010" i="2"/>
  <c r="W1010" i="2"/>
  <c r="X1009" i="2"/>
  <c r="W1009" i="2"/>
  <c r="X1008" i="2"/>
  <c r="W1008" i="2"/>
  <c r="X1007" i="2"/>
  <c r="W1007" i="2"/>
  <c r="X1006" i="2"/>
  <c r="W1006" i="2"/>
  <c r="X1005" i="2"/>
  <c r="W1005" i="2"/>
  <c r="X1004" i="2"/>
  <c r="W1004" i="2"/>
  <c r="X1003" i="2"/>
  <c r="W1003" i="2"/>
  <c r="X1002" i="2"/>
  <c r="W1002" i="2"/>
  <c r="X1001" i="2"/>
  <c r="W1001" i="2"/>
  <c r="X1000" i="2"/>
  <c r="W1000" i="2"/>
  <c r="X999" i="2"/>
  <c r="W999" i="2"/>
  <c r="X998" i="2"/>
  <c r="W998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9" i="2"/>
  <c r="W9" i="2"/>
  <c r="X8" i="2"/>
  <c r="W8" i="2"/>
  <c r="X7" i="2"/>
  <c r="W7" i="2"/>
  <c r="X6" i="2"/>
  <c r="W6" i="2"/>
  <c r="X5" i="2"/>
  <c r="W5" i="2"/>
  <c r="X4" i="2"/>
  <c r="W4" i="2"/>
  <c r="X3" i="2"/>
  <c r="W3" i="2"/>
  <c r="X2" i="2"/>
  <c r="W2" i="2"/>
  <c r="H46" i="4" l="1"/>
  <c r="G46" i="4"/>
  <c r="F46" i="4"/>
  <c r="E46" i="4"/>
  <c r="D46" i="4"/>
  <c r="C46" i="4"/>
  <c r="B46" i="4"/>
  <c r="A46" i="4"/>
  <c r="G45" i="4"/>
  <c r="H45" i="4"/>
  <c r="C56" i="4"/>
  <c r="H56" i="4"/>
  <c r="A56" i="4"/>
  <c r="B56" i="4"/>
  <c r="D56" i="4"/>
  <c r="E56" i="4"/>
  <c r="F56" i="4"/>
  <c r="G56" i="4"/>
  <c r="B55" i="4"/>
  <c r="H55" i="4"/>
  <c r="F55" i="4"/>
  <c r="E55" i="4"/>
  <c r="D55" i="4"/>
  <c r="C55" i="4"/>
  <c r="A55" i="4"/>
  <c r="G55" i="4"/>
  <c r="A54" i="4"/>
  <c r="B54" i="4"/>
  <c r="C54" i="4"/>
  <c r="D54" i="4"/>
  <c r="E54" i="4"/>
  <c r="F54" i="4"/>
  <c r="H54" i="4"/>
  <c r="G54" i="4"/>
  <c r="H53" i="4"/>
  <c r="G53" i="4"/>
  <c r="F53" i="4"/>
  <c r="E53" i="4"/>
  <c r="C53" i="4"/>
  <c r="B53" i="4"/>
  <c r="A53" i="4"/>
  <c r="D53" i="4"/>
  <c r="G52" i="4"/>
  <c r="A52" i="4"/>
  <c r="C52" i="4"/>
  <c r="E52" i="4"/>
  <c r="F52" i="4"/>
  <c r="B52" i="4"/>
  <c r="H52" i="4"/>
  <c r="D52" i="4"/>
  <c r="E51" i="4"/>
  <c r="D51" i="4"/>
  <c r="H51" i="4"/>
  <c r="G51" i="4"/>
  <c r="A51" i="4"/>
  <c r="B51" i="4"/>
  <c r="C51" i="4"/>
  <c r="F51" i="4"/>
  <c r="E50" i="4"/>
  <c r="A50" i="4"/>
  <c r="B50" i="4"/>
  <c r="C50" i="4"/>
  <c r="D50" i="4"/>
  <c r="H50" i="4"/>
  <c r="G50" i="4"/>
  <c r="F50" i="4"/>
  <c r="B49" i="4"/>
  <c r="C49" i="4"/>
  <c r="D49" i="4"/>
  <c r="H49" i="4"/>
  <c r="F49" i="4"/>
  <c r="A49" i="4"/>
  <c r="G49" i="4"/>
  <c r="E49" i="4"/>
  <c r="D48" i="4"/>
  <c r="E48" i="4"/>
  <c r="F48" i="4"/>
  <c r="G48" i="4"/>
  <c r="H48" i="4"/>
  <c r="B48" i="4"/>
  <c r="C48" i="4"/>
  <c r="A48" i="4"/>
  <c r="G47" i="4"/>
  <c r="B47" i="4"/>
  <c r="C47" i="4"/>
  <c r="D47" i="4"/>
  <c r="E47" i="4"/>
  <c r="H47" i="4"/>
  <c r="A47" i="4"/>
  <c r="F47" i="4"/>
  <c r="B45" i="4"/>
  <c r="E45" i="4"/>
  <c r="A45" i="4"/>
  <c r="D45" i="4"/>
  <c r="C45" i="4"/>
  <c r="F45" i="4"/>
  <c r="F41" i="4"/>
  <c r="C41" i="4"/>
  <c r="E41" i="4"/>
  <c r="B41" i="4"/>
  <c r="G41" i="4"/>
  <c r="A41" i="4"/>
  <c r="D41" i="4"/>
  <c r="D40" i="4"/>
  <c r="F40" i="4"/>
  <c r="B40" i="4"/>
  <c r="E40" i="4"/>
  <c r="G40" i="4"/>
  <c r="C40" i="4"/>
  <c r="A40" i="4"/>
  <c r="G39" i="4"/>
  <c r="A39" i="4"/>
  <c r="F39" i="4"/>
  <c r="C39" i="4"/>
  <c r="B39" i="4"/>
  <c r="E39" i="4"/>
  <c r="D39" i="4"/>
  <c r="G38" i="4"/>
  <c r="D38" i="4"/>
  <c r="B38" i="4"/>
  <c r="F38" i="4"/>
  <c r="E38" i="4"/>
  <c r="A38" i="4"/>
  <c r="C38" i="4"/>
  <c r="C37" i="4"/>
  <c r="B37" i="4"/>
  <c r="A37" i="4"/>
  <c r="D37" i="4"/>
  <c r="G37" i="4"/>
  <c r="E37" i="4"/>
  <c r="F37" i="4"/>
  <c r="B36" i="4"/>
  <c r="A36" i="4"/>
  <c r="E36" i="4"/>
  <c r="F36" i="4"/>
  <c r="G36" i="4"/>
  <c r="C36" i="4"/>
  <c r="D36" i="4"/>
  <c r="B35" i="4"/>
  <c r="A35" i="4"/>
  <c r="G35" i="4"/>
  <c r="F35" i="4"/>
  <c r="E35" i="4"/>
  <c r="D35" i="4"/>
  <c r="C35" i="4"/>
  <c r="A34" i="4"/>
  <c r="B34" i="4"/>
  <c r="C34" i="4"/>
  <c r="D34" i="4"/>
  <c r="E34" i="4"/>
  <c r="F34" i="4"/>
  <c r="G34" i="4"/>
  <c r="C30" i="4"/>
  <c r="A30" i="4"/>
  <c r="B30" i="4"/>
  <c r="D30" i="4"/>
  <c r="E30" i="4"/>
  <c r="F30" i="4"/>
  <c r="G30" i="4"/>
  <c r="H30" i="4"/>
  <c r="C29" i="4"/>
  <c r="A29" i="4"/>
  <c r="B29" i="4"/>
  <c r="D29" i="4"/>
  <c r="E29" i="4"/>
  <c r="F29" i="4"/>
  <c r="G29" i="4"/>
  <c r="H29" i="4"/>
  <c r="G28" i="4"/>
  <c r="F28" i="4"/>
  <c r="E28" i="4"/>
  <c r="D28" i="4"/>
  <c r="H28" i="4"/>
  <c r="C28" i="4"/>
  <c r="B28" i="4"/>
  <c r="A28" i="4"/>
  <c r="E27" i="4"/>
  <c r="C27" i="4"/>
  <c r="B27" i="4"/>
  <c r="A27" i="4"/>
  <c r="D27" i="4"/>
  <c r="H27" i="4"/>
  <c r="G27" i="4"/>
  <c r="F27" i="4"/>
  <c r="A26" i="4"/>
  <c r="C26" i="4"/>
  <c r="D26" i="4"/>
  <c r="E26" i="4"/>
  <c r="F26" i="4"/>
  <c r="G26" i="4"/>
  <c r="H26" i="4"/>
  <c r="B26" i="4"/>
  <c r="A25" i="4"/>
  <c r="H25" i="4"/>
  <c r="G25" i="4"/>
  <c r="F25" i="4"/>
  <c r="E25" i="4"/>
  <c r="D25" i="4"/>
  <c r="C25" i="4"/>
  <c r="B25" i="4"/>
  <c r="G24" i="4"/>
  <c r="H24" i="4"/>
  <c r="D24" i="4"/>
  <c r="B24" i="4"/>
  <c r="A24" i="4"/>
  <c r="C24" i="4"/>
  <c r="E24" i="4"/>
  <c r="F24" i="4"/>
  <c r="F23" i="4"/>
  <c r="C23" i="4"/>
  <c r="A23" i="4"/>
  <c r="B23" i="4"/>
  <c r="D23" i="4"/>
  <c r="E23" i="4"/>
  <c r="H23" i="4"/>
  <c r="G23" i="4"/>
  <c r="L66" i="4"/>
  <c r="L68" i="4"/>
  <c r="L65" i="4"/>
  <c r="L69" i="4"/>
  <c r="L70" i="4"/>
  <c r="L62" i="4"/>
  <c r="L67" i="4"/>
  <c r="L63" i="4"/>
  <c r="L61" i="4"/>
  <c r="L60" i="4"/>
  <c r="L64" i="4"/>
  <c r="L71" i="4"/>
  <c r="B12" i="5"/>
  <c r="B24" i="6" s="1"/>
  <c r="B11" i="5"/>
  <c r="B23" i="6" s="1"/>
  <c r="B66" i="4" l="1"/>
  <c r="D66" i="4"/>
  <c r="F66" i="4"/>
  <c r="A66" i="4"/>
  <c r="C66" i="4"/>
  <c r="E66" i="4"/>
  <c r="G66" i="4"/>
  <c r="A68" i="4"/>
  <c r="D68" i="4"/>
  <c r="F68" i="4"/>
  <c r="C68" i="4"/>
  <c r="E68" i="4"/>
  <c r="G68" i="4"/>
  <c r="B68" i="4"/>
  <c r="B65" i="4"/>
  <c r="C65" i="4"/>
  <c r="D65" i="4"/>
  <c r="E65" i="4"/>
  <c r="F65" i="4"/>
  <c r="G65" i="4"/>
  <c r="A65" i="4"/>
  <c r="C69" i="4"/>
  <c r="D69" i="4"/>
  <c r="F69" i="4"/>
  <c r="B69" i="4"/>
  <c r="G69" i="4"/>
  <c r="A69" i="4"/>
  <c r="E69" i="4"/>
  <c r="A70" i="4"/>
  <c r="B70" i="4"/>
  <c r="C70" i="4"/>
  <c r="D70" i="4"/>
  <c r="E70" i="4"/>
  <c r="G70" i="4"/>
  <c r="F70" i="4"/>
  <c r="A62" i="4"/>
  <c r="B62" i="4"/>
  <c r="C62" i="4"/>
  <c r="D62" i="4"/>
  <c r="E62" i="4"/>
  <c r="F62" i="4"/>
  <c r="G62" i="4"/>
  <c r="B67" i="4"/>
  <c r="E67" i="4"/>
  <c r="A67" i="4"/>
  <c r="D67" i="4"/>
  <c r="G67" i="4"/>
  <c r="C67" i="4"/>
  <c r="F67" i="4"/>
  <c r="A63" i="4"/>
  <c r="B63" i="4"/>
  <c r="C63" i="4"/>
  <c r="D63" i="4"/>
  <c r="E63" i="4"/>
  <c r="F63" i="4"/>
  <c r="G63" i="4"/>
  <c r="A61" i="4"/>
  <c r="B61" i="4"/>
  <c r="C61" i="4"/>
  <c r="D61" i="4"/>
  <c r="E61" i="4"/>
  <c r="F61" i="4"/>
  <c r="G61" i="4"/>
  <c r="A60" i="4"/>
  <c r="B60" i="4"/>
  <c r="C60" i="4"/>
  <c r="D60" i="4"/>
  <c r="E60" i="4"/>
  <c r="F60" i="4"/>
  <c r="G60" i="4"/>
  <c r="A64" i="4"/>
  <c r="B64" i="4"/>
  <c r="C64" i="4"/>
  <c r="D64" i="4"/>
  <c r="E64" i="4"/>
  <c r="F64" i="4"/>
  <c r="G64" i="4"/>
  <c r="G71" i="4"/>
  <c r="A71" i="4"/>
  <c r="B71" i="4"/>
  <c r="C71" i="4"/>
  <c r="D71" i="4"/>
  <c r="E71" i="4"/>
  <c r="F71" i="4"/>
</calcChain>
</file>

<file path=xl/sharedStrings.xml><?xml version="1.0" encoding="utf-8"?>
<sst xmlns="http://schemas.openxmlformats.org/spreadsheetml/2006/main" count="1170" uniqueCount="624">
  <si>
    <t>BASE GERENCIAL v3.4 — PROCESSOS INTEGRADOS</t>
  </si>
  <si>
    <t>Torre Financeira CSC · Consolidação de 4 analistas · Supervisora: Juliana Batista</t>
  </si>
  <si>
    <t>Papel desta pasta de trabalho</t>
  </si>
  <si>
    <t>BASE GERENCIAL v3.4 — consolidação da supervisora Juliana Batista (Departamento E — Processos Integrados). Fonte oficial da verdade: importa, valida e enriquece — nunca redigita.</t>
  </si>
  <si>
    <t>Fluxo: 4 planilhas dos analistas (JV, VL, JS, FM) → aba "Base Gerencial" (colunas A a AA, importadas) → colunas de gestão (AB a AJ) → Indicadores e Report (automáticos) → futuro sistema web.</t>
  </si>
  <si>
    <t>Regra de ID único (chave da consolidação)</t>
  </si>
  <si>
    <t>• Cada analista tem um PREFIXO exclusivo: JV = José Victor · VL = Viviane Lima · JS = Juliana Santos · FM = Filipe Messias (JB reservado para a supervisora).</t>
  </si>
  <si>
    <t>• O ID é gerado automaticamente na planilha do analista (ex.: FM-0001, JV-0001). Como os prefixos não se repetem, é impossível haver colisão de IDs entre as 4 planilhas.</t>
  </si>
  <si>
    <t>• PROTEÇÃO EXTRA: a coluna "ID Origem" fica VERMELHA se algum ID aparecer duplicado após a consolidação (ex.: mesmo arquivo importado duas vezes), e o indicador "IDs duplicados" na aba Indicadores deve ser sempre 0.</t>
  </si>
  <si>
    <t>• Analistas não devem excluir linhas do meio (renumeraria IDs); atividades descartadas ficam com Status = Cancelado.</t>
  </si>
  <si>
    <t>Trabalho em parceria (sem contagem dupla)</t>
  </si>
  <si>
    <t>• Atividades grandes podem ter 2+ participantes: o Responsável registra a entrega completa e lista os parceiros; cada parceiro lança uma linha com Papel = Apoio, suas horas e o ID da Atividade Principal.</t>
  </si>
  <si>
    <t>• Nos indicadores, linhas de Apoio SOMAM HORAS (esforço real da equipe) mas NÃO contam como entrega, ganho de produtividade, pessoas impactadas ou economia — tudo isso fica só na linha do Responsável.</t>
  </si>
  <si>
    <t>• Para auditar uma parceria, filtre a coluna "ID Atividade Principal" pelo ID do responsável.</t>
  </si>
  <si>
    <t>Passo a passo mensal</t>
  </si>
  <si>
    <t>1. Receba as 4 planilhas na pasta compartilhada (ex.: C:\CSC\Planilhas_Analistas).</t>
  </si>
  <si>
    <t>1b. ACOMPANHAMENTO SEMANAL: peça que cada analista cole a tabela da seção 2 do seu Acompanhamento Semanal na aba "Acomp. Equipe" (ou cole você ao receber os arquivos). A aba "Acompanhamento Semanal" consolida tudo sozinha: bloqueios, quem precisa de apoio, andamento e ganhos da semana — sem exibir concluídas.</t>
  </si>
  <si>
    <t>2. Importe os lançamentos para as colunas A a W (Power Query da pasta ou copiar/colar por analista). Preencha a coluna "Analista" com o nome (no Power Query, use Source.Name). As colunas W e X (Ganho e % Redução) já têm fórmula.</t>
  </si>
  <si>
    <t>3. Confira o indicador "IDs duplicados (deve ser 0)" na aba Indicadores antes de validar.</t>
  </si>
  <si>
    <t>4. Preencha as colunas de gestão (X a AF) e marque Validado = Sim.</t>
  </si>
  <si>
    <t>5. Preencha as 2 células amarelas de pagamentos (SAP/FBL1N), escreva a Mensagem Executiva no Report e exporte em PDF.</t>
  </si>
  <si>
    <t>Power Query (importação automática)</t>
  </si>
  <si>
    <t>Dados &gt; Obter Dados &gt; De Arquivo &gt; Da Pasta &gt; pasta dos analistas &gt; combinar pela planilha "Lançamentos". Use Source.Name para preencher "Analista". Carregue a partir de A2.</t>
  </si>
  <si>
    <t>Regras de ouro</t>
  </si>
  <si>
    <t>• As 5 primeiras linhas são EXEMPLOS de teste (IDs FM-0001, FM-0002, JV-0001, VL-0001, JS-0001) — exclua antes do uso oficial.</t>
  </si>
  <si>
    <t>• Registre Pessoas Impactadas e Economia (R$) no momento da validação.</t>
  </si>
  <si>
    <t>• Nunca altere os Cadastros sem replicar nas 4 planilhas dos analistas.</t>
  </si>
  <si>
    <t>Analista</t>
  </si>
  <si>
    <t>ID Origem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</si>
  <si>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</si>
  <si>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</si>
  <si>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</si>
  <si>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</si>
  <si>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</si>
  <si>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</si>
  <si>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</si>
  <si>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</si>
  <si>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</si>
  <si>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</si>
  <si>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</si>
  <si>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</si>
  <si>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</si>
  <si>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</si>
  <si>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</si>
  <si>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</si>
  <si>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</si>
  <si>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</si>
  <si>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</si>
  <si>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</si>
  <si>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</si>
  <si>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</si>
  <si>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</si>
  <si>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</si>
  <si>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 Analista</t>
  </si>
  <si>
    <t>Validado</t>
  </si>
  <si>
    <t>Prioridade</t>
  </si>
  <si>
    <t>Complexidade</t>
  </si>
  <si>
    <t>Impacto</t>
  </si>
  <si>
    <t>Categoria de Benefício</t>
  </si>
  <si>
    <t>Pessoas Impactadas</t>
  </si>
  <si>
    <t>Economia Estimada (R$) — opcional</t>
  </si>
  <si>
    <t>Observação Executiva</t>
  </si>
  <si>
    <t>Destaque Report</t>
  </si>
  <si>
    <t>Filipe Messias</t>
  </si>
  <si>
    <t>FM-0001</t>
  </si>
  <si>
    <t>Fiscal/Contábil</t>
  </si>
  <si>
    <t>Lumen</t>
  </si>
  <si>
    <t>PIS/COFINS</t>
  </si>
  <si>
    <t>Transformação Digital</t>
  </si>
  <si>
    <t>Obrigação Acessória</t>
  </si>
  <si>
    <t>Auditoria SPED EFD Contribuições</t>
  </si>
  <si>
    <t>Realiza a auditoria comparativa da EFD Contribuições, identificando alterações entre arquivos originais e retificados, com análise mensal ou anual, comparação de blocos, registros, campos e valores, além da exportação dos resultados em Excel e PDF.</t>
  </si>
  <si>
    <t>Tributos Federais</t>
  </si>
  <si>
    <t>Maria Estela</t>
  </si>
  <si>
    <t>Não</t>
  </si>
  <si>
    <t>Responsável</t>
  </si>
  <si>
    <t>Todas</t>
  </si>
  <si>
    <t>Concluído</t>
  </si>
  <si>
    <t>Comparativo original x retificado disponível para toda a equipe, com exportação em Excel e PDF; divergências identificadas antes da transmissão.</t>
  </si>
  <si>
    <t>Sem pendências</t>
  </si>
  <si>
    <t>Utilize arquivos originais e retificados correspondentes ao mesmo período para garantir uma comparação correta dos dados.</t>
  </si>
  <si>
    <t>Sim</t>
  </si>
  <si>
    <t>Alta</t>
  </si>
  <si>
    <t>Alto</t>
  </si>
  <si>
    <t>Qualidade</t>
  </si>
  <si>
    <t>Auditoria pré-transmissão reduz risco de retificação</t>
  </si>
  <si>
    <t>FM-0002</t>
  </si>
  <si>
    <t>Financeiro</t>
  </si>
  <si>
    <t>Saneamento Base Contábil</t>
  </si>
  <si>
    <t>Adiantamento de Fornecedores</t>
  </si>
  <si>
    <t>Automação</t>
  </si>
  <si>
    <t>Processamento de documentos de adiantamentos</t>
  </si>
  <si>
    <t>Leitura automatizada de 1.374 arquivos PDF para extração de informações dos processos de adiantamento de fornecedores, consolidando dados como solicitante, aprovador, motivo, pedido de compra, NFS-e e demais informações para geração de relatório gerencial e planilha em Excel.</t>
  </si>
  <si>
    <t>Tesouraria</t>
  </si>
  <si>
    <t>Erica Arcoverde (Supervisora)</t>
  </si>
  <si>
    <t>José Victor</t>
  </si>
  <si>
    <t>ELET</t>
  </si>
  <si>
    <t>1.374 PDFs lidos automaticamente; relatório gerencial e planilha Excel gerados, com campos "Não Identificado" quando não houve evidência no documento.</t>
  </si>
  <si>
    <t>As informações foram extraídas exclusivamente das evidências contidas nos documentos. Quando um dado não pôde ser comprovado, o sistema preencheu o campo como "Não Identificado", garantindo a confiabilidade da análise.</t>
  </si>
  <si>
    <t>Tempo</t>
  </si>
  <si>
    <t>Leitura automatizada de 1.374 PDFs (parceria FM+JV)</t>
  </si>
  <si>
    <t>FM-0003</t>
  </si>
  <si>
    <t>Rotina Financeiro</t>
  </si>
  <si>
    <t>Pagamento de Tributos (DARF/GPS)</t>
  </si>
  <si>
    <t>Automação da emissão de DARF (SICALC)</t>
  </si>
  <si>
    <t>Robô Python/Selenium para cálculo e emissão de DARFs no portal SICALC, com validação humana do captcha.</t>
  </si>
  <si>
    <t>Daiane Vicente</t>
  </si>
  <si>
    <t>95% das DARFs passaram a ser emitidas automaticamente; emissão manual eliminada.</t>
  </si>
  <si>
    <t>Piloto aprovado pela gestão</t>
  </si>
  <si>
    <t>95% das DARFs automatizadas; emissão manual eliminada</t>
  </si>
  <si>
    <t>FM-0004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</si>
  <si>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</si>
  <si>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</si>
  <si>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</si>
  <si>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</si>
  <si>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</si>
  <si>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Edição M01 da Newsletter Tributária</t>
  </si>
  <si>
    <t>Conteúdo sobre fato gerador, base de cálculo, alíquotas e não cumulatividade da CBS/IBS.</t>
  </si>
  <si>
    <t>Gestão</t>
  </si>
  <si>
    <t>Angela Ritchie (Coordenadora)</t>
  </si>
  <si>
    <t>Não iniciado</t>
  </si>
  <si>
    <t>Edição distribuída ao CSC por e-mail; equipes atualizadas sobre a Reforma Tributária (CBS/IBS).</t>
  </si>
  <si>
    <t>Elaborar material de estudo</t>
  </si>
  <si>
    <t>Distribuída por e-mail ao CSC</t>
  </si>
  <si>
    <t>Média</t>
  </si>
  <si>
    <t>Baixa</t>
  </si>
  <si>
    <t>Médio</t>
  </si>
  <si>
    <t>Pessoas</t>
  </si>
  <si>
    <t>Aguardando início do material de estudo</t>
  </si>
  <si>
    <t>FM-0005</t>
  </si>
  <si>
    <t>V360</t>
  </si>
  <si>
    <t>Dashboard Entrada de NF - TicketLog x V360</t>
  </si>
  <si>
    <t>Melhoria Contínua</t>
  </si>
  <si>
    <t>Gargalo eliminado</t>
  </si>
  <si>
    <t>Conciliação de notas TicketLog × V360</t>
  </si>
  <si>
    <t>Automação que cruza as notas do relatório TicketLog com a base V360 para localizar o ID V360, apoiar a baixa em massa e identificar pendências entre as duas bases. A validação ocorre primeiro pela Chave de Acesso e, quando indisponível, por No da NF + CNPJ do fornecedor + tipo, com conferência de valor.</t>
  </si>
  <si>
    <t>Recebimento Fiscal</t>
  </si>
  <si>
    <t>Em validação</t>
  </si>
  <si>
    <t>Estrutura automatizada de conciliação em duas direções, com identificação do ID V360, separação entre notas de material e serviço, indicadores de conciliadas e pendentes e lista acionável para tratamento do backlog.</t>
  </si>
  <si>
    <t>Feedback da ferramenta</t>
  </si>
  <si>
    <t>Capacidade planejada para até 10.000 notas/mês. Abas de origem: base-faturamento e base-v360. Engine principal: consolidado-material-servico. Saídas: analise-material, analise-servico, analise-faturamento, analise-v360 e consolidado-v360-faturamento.</t>
  </si>
  <si>
    <t>Operação</t>
  </si>
  <si>
    <t>Conciliação TicketLog×V360 em validação</t>
  </si>
  <si>
    <t>FM-0006</t>
  </si>
  <si>
    <t>Rotina Fiscal/Contábil</t>
  </si>
  <si>
    <t>OCR/Processamento de Documentos</t>
  </si>
  <si>
    <t>Conversor PDF para Excel de notas fiscais</t>
  </si>
  <si>
    <t>Desenvolvimento de aplicação web local para converter PDFs de relatórios de notas fiscais da Prefeitura de Paulo Afonso em planilhas Excel estruturadas. A solução recebe arquivos PDF em lote, processa as páginas por OCR, reconstrói linhas e colunas da tabela por coordenadas, normaliza erros comuns de leitura e gera arquivos .xlsx formatados para conferência e uso pela área fiscal.</t>
  </si>
  <si>
    <t>A confirmar</t>
  </si>
  <si>
    <t>CHESF</t>
  </si>
  <si>
    <t>Aplicação funcional em Flask com upload de 1 a 12 PDFs, conversão sequencial, barra de progresso, geração individual de Excel e opção de baixar os resultados em ZIP. Reduz o trabalho manual de digitação e cópia de dados, padroniza a saída em Excel e acelera a preparação de bases fiscais.</t>
  </si>
  <si>
    <t>Validar uma amostra final com a área fiscal, confirmar a acurácia do OCR, registrar tempos reais de execução e conferência e ajustar a pessoa responsável na tabela mestra.</t>
  </si>
  <si>
    <t>Classificação sugerida: Transformação Digital / OCR. Se necessário, avaliar o enquadramento como Projeto Lumen e Tema Notas Fiscais. A primeira execução pode demorar devido ao carregamento do modelo OCR.</t>
  </si>
  <si>
    <t>OCR aguardando validação da área fiscal</t>
  </si>
  <si>
    <t>FM-0007</t>
  </si>
  <si>
    <t>Apurações</t>
  </si>
  <si>
    <t>Excel Cleaner ETL para arquivos PIS/COFINS</t>
  </si>
  <si>
    <t>Desenvolvimento de aplicação web local para reduzir o tamanho de arquivos Excel de apuração de PIS/COFINS, preservando dados, fórmulas, formatação, gráficos e estrutura das tabelas dinâmicas. A ferramenta remove elementos internos redundantes, como ícones decorativos, cache de tabelas dinâmicas e cadeia de cálculo, e recomprime arquivos .xlsx e .xlsb com nível máximo de compressão.</t>
  </si>
  <si>
    <t>Ferramenta funcional com processamento local e preservação da integridade dos arquivos. Nos testes, um arquivo .xlsx foi reduzido de 75,4 MB para 27,9 MB (63%) em aproximadamente 15 segundos, e um arquivo .xlsb foi reduzido de 13,4 MB para cerca de 7 MB (aproximadamente 46%) em aproximadamente 5 segundos.</t>
  </si>
  <si>
    <t>Homologar no ambiente corporativo, validar arquivos adicionais de PIS/COFINS, confirmar o responsável, registrar horas de desenvolvimento e medir o ganho mensal real. Após o processamento, atualizar as tabelas dinâmicas no Excel.</t>
  </si>
  <si>
    <t>Processamento 100% local, sem envio dos arquivos para serviços externos. A solução preserva valores, fórmulas, formatação e gráficos reais, mas remove ícones decorativos, caches de tabelas dinâmicas e calcChain. Manter sempre o arquivo original intacto; arquivos .xlsm não são suportados na versão atual.</t>
  </si>
  <si>
    <t>Tecnologia</t>
  </si>
  <si>
    <t>Compressão de arquivos em homologação</t>
  </si>
  <si>
    <t>FM-0008</t>
  </si>
  <si>
    <t>Dashboard Entrada de NF - SAP x V360</t>
  </si>
  <si>
    <t>Business Intelligence</t>
  </si>
  <si>
    <t>KPI/Indicador publicado</t>
  </si>
  <si>
    <t>Memória de cálculo dos índices V360</t>
  </si>
  <si>
    <t>Elaboração e validação da memória de cálculo do BI Torre Financeira V360, documentando a base padrão base-v360.xlsx, com 341.867 registros, e as regras dos indicadores de visão geral, Torre Financeira, fluxo de subcontratadas e aguardando pagamento. O trabalho formaliza critérios de normalização textual, cálculo de dias na tarefa, dias de emissão, regra de vencimento acima de 40 dias, notas em aberto, fluxo principal, subcontratadas, Torre Financeira e carteira aguardando pagamento.</t>
  </si>
  <si>
    <t>Processos Integrados</t>
  </si>
  <si>
    <t>Memória de cálculo estruturada e auditável para os indicadores V360, com fórmulas, bases de filtro, critérios de classificação, regras de arredondamento e retrato numérico da base atual. A documentação aumenta a rastreabilidade dos KPIs, reduz retrabalho de conferência manual e padroniza a interpretação dos números publicados no BI.</t>
  </si>
  <si>
    <t>Confirmar responsável nominal, validar se o escopo da empresa deve permanecer como Todas ou ser restrito a uma empresa específica, e manter a memória atualizada a cada alteração de regra ou atualização relevante da base.</t>
  </si>
  <si>
    <t>Valores de tempo são estimativas. Base verificada em 02/07/2026. A regra de vencimento usa dias na tarefa, não data de vencimento. O status Concluídas é calculado por diferença entre fluxo principal e notas em aberto.</t>
  </si>
  <si>
    <t>KPIs do V360 rastreáveis e auditáveis</t>
  </si>
  <si>
    <t>ICMS</t>
  </si>
  <si>
    <t>Operação (Rotina)</t>
  </si>
  <si>
    <t>Apuração de Tributos</t>
  </si>
  <si>
    <t>Tributos Estaduais</t>
  </si>
  <si>
    <t>Yuri Medeiros (Técnico)</t>
  </si>
  <si>
    <t>Compliance</t>
  </si>
  <si>
    <t>Apoio</t>
  </si>
  <si>
    <t>Actio</t>
  </si>
  <si>
    <t>Planos de Ação</t>
  </si>
  <si>
    <t>PMO / Projetos</t>
  </si>
  <si>
    <t>Projeto/Sprint gerenciado</t>
  </si>
  <si>
    <t>Rone Ferreira (Gerente)</t>
  </si>
  <si>
    <t>Em andamento</t>
  </si>
  <si>
    <t>Viviane Lima</t>
  </si>
  <si>
    <t>M02 - Comércio Internacional</t>
  </si>
  <si>
    <t>EFD Contribuições</t>
  </si>
  <si>
    <t>Emerson Pontes (Supervisor)</t>
  </si>
  <si>
    <t>Indicadores e Metas</t>
  </si>
  <si>
    <t>KPI/Indicador</t>
  </si>
  <si>
    <t>Phillippe de Sá (Coordenador)</t>
  </si>
  <si>
    <t>Juliana Santos</t>
  </si>
  <si>
    <t>Dashboard de Produtividade</t>
  </si>
  <si>
    <t>Dashboard</t>
  </si>
  <si>
    <t>CSC Corporativo</t>
  </si>
  <si>
    <t>Jan Carlos</t>
  </si>
  <si>
    <t>Adiantamento de Clientes</t>
  </si>
  <si>
    <t>Contabilidade</t>
  </si>
  <si>
    <t>Magnum Brandão (Técnico)</t>
  </si>
  <si>
    <t>Aguardando terceiros</t>
  </si>
  <si>
    <t>Conciliações Financeiras</t>
  </si>
  <si>
    <t>Conciliação</t>
  </si>
  <si>
    <t>Baixo</t>
  </si>
  <si>
    <t>ACOMP. EQUIPE — cole aqui as tabelas da seção 2 dos 4 analistas, ACUMULANDO semana a semana (histórico completo)</t>
  </si>
  <si>
    <t>Semana</t>
  </si>
  <si>
    <t>ID</t>
  </si>
  <si>
    <t>Atividade</t>
  </si>
  <si>
    <t>Status da Semana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</si>
  <si>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</si>
  <si>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</si>
  <si>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</si>
  <si>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</si>
  <si>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</si>
  <si>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</si>
  <si>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</si>
  <si>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</si>
  <si>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Semana 27</t>
  </si>
  <si>
    <t>🟡 Em andamento</t>
  </si>
  <si>
    <t>Conversões de teste com 12 PDFs concluídas</t>
  </si>
  <si>
    <t>Enviar amostra à área fiscal</t>
  </si>
  <si>
    <t>Semana 28</t>
  </si>
  <si>
    <t>⏸ Aguardando Terceiros</t>
  </si>
  <si>
    <t>Aguardando outra área</t>
  </si>
  <si>
    <t>Amostra enviada; sem retorno do Recebimento Fiscal</t>
  </si>
  <si>
    <t>Cobrar validação da amostra</t>
  </si>
  <si>
    <t>Conciliação executada nas bases de junho</t>
  </si>
  <si>
    <t>Colher feedback da ferramenta</t>
  </si>
  <si>
    <t>Em homologação</t>
  </si>
  <si>
    <t>Testes de compressão em arquivos reais concluídos</t>
  </si>
  <si>
    <t>Homologar no ambiente corporativo</t>
  </si>
  <si>
    <t>TI</t>
  </si>
  <si>
    <t>Em desenvolvimento</t>
  </si>
  <si>
    <t>🔴 Bloqueado</t>
  </si>
  <si>
    <t>Aguardando TI</t>
  </si>
  <si>
    <t>ACOMPANHAMENTO SEMANAL — VISÃO DA GESTORA</t>
  </si>
  <si>
    <t>Consolidação automática · Concluídas não aparecem aqui · Gargalos = atividades reportadas em 2+ semanas</t>
  </si>
  <si>
    <t>IDENTIFICAÇÃO</t>
  </si>
  <si>
    <t>Semana (nº / descrição):</t>
  </si>
  <si>
    <t>Período — de:</t>
  </si>
  <si>
    <t>até:</t>
  </si>
  <si>
    <t>1. RESUMO EXECUTIVO DA SEMANA (automático)</t>
  </si>
  <si>
    <t>Linhas reportadas (histórico acumulado)</t>
  </si>
  <si>
    <t>Atividades distintas reportadas</t>
  </si>
  <si>
    <t>🟢 Concluídas (reportadas)</t>
  </si>
  <si>
    <t>🔴 Bloqueadas</t>
  </si>
  <si>
    <t>⏸ Aguardando terceiros</t>
  </si>
  <si>
    <t>⚠ Necessitam apoio do gestor</t>
  </si>
  <si>
    <t>Analistas reportando</t>
  </si>
  <si>
    <t>Entregas concluídas na semana (Base Gerencial)</t>
  </si>
  <si>
    <t>Horas das entregas da semana</t>
  </si>
  <si>
    <t>Ganho de produtividade gerado na semana (h/mês)</t>
  </si>
  <si>
    <t>2. 🔴 ATIVIDADES BLOQUEADAS</t>
  </si>
  <si>
    <t>Motivo</t>
  </si>
  <si>
    <t>Previsão</t>
  </si>
  <si>
    <t>Semanas</t>
  </si>
  <si>
    <t>3. ⚠ EXIGEM AÇÃO DO GESTOR (Necessita Apoio = Sim)</t>
  </si>
  <si>
    <t>Resp. Pendência</t>
  </si>
  <si>
    <t>Ação do Gestor</t>
  </si>
  <si>
    <t>4. 🟡 EM ANDAMENTO / AGUARDANDO (com próximas entregas e previsão)</t>
  </si>
  <si>
    <t>Evolução</t>
  </si>
  <si>
    <t>5. ⛔ GARGALOS — REPORTADAS EM 2+ SEMANAS SEM CONCLUSÃO (linha a linha, semana a semana)</t>
  </si>
  <si>
    <t>O que foi feito</t>
  </si>
  <si>
    <t>Plano de Ação do Gestor</t>
  </si>
  <si>
    <t>6. GANHOS DA SEMANA (automático — Base Gerencial, sem linhas de apoio)</t>
  </si>
  <si>
    <t>Ganho de produtividade (h/mês)</t>
  </si>
  <si>
    <t>Economia estimada (R$)</t>
  </si>
  <si>
    <t>Automações entregues</t>
  </si>
  <si>
    <t>Dashboards entregues</t>
  </si>
  <si>
    <t>POPs elaborados</t>
  </si>
  <si>
    <t>Fluxogramas atualizados</t>
  </si>
  <si>
    <t>Agentes de IA implantados</t>
  </si>
  <si>
    <t>Processos melhorados (Melhoria Contínua)</t>
  </si>
  <si>
    <t>7. COMENTÁRIOS E DIRECIONAMENTOS DO GESTOR</t>
  </si>
  <si>
    <t>Direcionamento</t>
  </si>
  <si>
    <t>Prazo</t>
  </si>
  <si>
    <t>INDICADORES EXECUTIVOS v3.4</t>
  </si>
  <si>
    <t>Calculados automaticamente a partir da Base Gerencial</t>
  </si>
  <si>
    <t>1. TORRE FINANCEIRA — CSC (visão consolidada)</t>
  </si>
  <si>
    <t>Total de atividades (entregas, sem apoios)</t>
  </si>
  <si>
    <t>Concluídas</t>
  </si>
  <si>
    <t>Atividades em parceria (2+ pessoas)</t>
  </si>
  <si>
    <t>Linhas de apoio (colaboração)</t>
  </si>
  <si>
    <t>Horas gastas pela equipe (inclui apoios)</t>
  </si>
  <si>
    <t>Ganho anualizado (h/ano)</t>
  </si>
  <si>
    <t>Economia estimada (R$) — quando aplicável</t>
  </si>
  <si>
    <t>Pessoas impactadas</t>
  </si>
  <si>
    <t>Destaques do mês (Destaque = Sim)</t>
  </si>
  <si>
    <t>IDs duplicados (controle de consolidação — deve ser 0)</t>
  </si>
  <si>
    <t>2. GANHOS DE PRODUTIVIDADE (antes x depois dos processos melhorados)</t>
  </si>
  <si>
    <t>Tempo dos processos ANTES (h/mês)</t>
  </si>
  <si>
    <t>Tempo dos processos DEPOIS (h/mês)</t>
  </si>
  <si>
    <t>Ganho mensal (h/mês)</t>
  </si>
  <si>
    <t>% de redução média (ponderada)</t>
  </si>
  <si>
    <t>Processos com ganho medido</t>
  </si>
  <si>
    <t>3. PRODUÇÃO POR ANALISTA (consolidação das 4 planilhas)</t>
  </si>
  <si>
    <t>Entregas</t>
  </si>
  <si>
    <t>Horas</t>
  </si>
  <si>
    <t>Apoios</t>
  </si>
  <si>
    <t>José Victor (JV)</t>
  </si>
  <si>
    <t>Viviane Lima (VL)</t>
  </si>
  <si>
    <t>Juliana Santos (JS)</t>
  </si>
  <si>
    <t>Filipe Messias (FM)</t>
  </si>
  <si>
    <t>4. PROCESSOS INTEGRADOS — POR PILAR</t>
  </si>
  <si>
    <t>Item</t>
  </si>
  <si>
    <t>Total</t>
  </si>
  <si>
    <t>5. ENTREGAS DO MÊS (por tipo de demanda)</t>
  </si>
  <si>
    <t>Pilar</t>
  </si>
  <si>
    <t>POP elaborado/atualizado</t>
  </si>
  <si>
    <t>Fluxograma (AS-IS/TO-BE)</t>
  </si>
  <si>
    <t>Política/Norma</t>
  </si>
  <si>
    <t>Indicador definido</t>
  </si>
  <si>
    <t>Documentação/Manual</t>
  </si>
  <si>
    <t>Processo revisado/simplificado</t>
  </si>
  <si>
    <t>Redução de etapas</t>
  </si>
  <si>
    <t>Padronização implantada</t>
  </si>
  <si>
    <t>Kaizen/Lean</t>
  </si>
  <si>
    <t>Agente de IA</t>
  </si>
  <si>
    <t>Portal/Sistema Web</t>
  </si>
  <si>
    <t>Integração (SAP/API)</t>
  </si>
  <si>
    <t>Script/Macro</t>
  </si>
  <si>
    <t>Relatório Analítico</t>
  </si>
  <si>
    <t>Base de Dados estruturada</t>
  </si>
  <si>
    <t>Cronograma/Roadmap</t>
  </si>
  <si>
    <t>Workshop/Treinamento</t>
  </si>
  <si>
    <t>Gestão de Mudança</t>
  </si>
  <si>
    <t>Pagamento/Tesouraria</t>
  </si>
  <si>
    <t>Análise/Parecer</t>
  </si>
  <si>
    <t>Suporte/Atendimento</t>
  </si>
  <si>
    <t>Correção/Retificação</t>
  </si>
  <si>
    <t>6. ATUAÇÃO POR DEPARTAMENTO DO CSC (demanda envolvida)</t>
  </si>
  <si>
    <t>Contas a Receber</t>
  </si>
  <si>
    <t>Auditoria Financeira CSC</t>
  </si>
  <si>
    <t>Cartão Corporativo</t>
  </si>
  <si>
    <t>Faturamento</t>
  </si>
  <si>
    <t>7. DEPARTAMENTO FISCAL/CONTÁBIL (rotina fora de projetos)</t>
  </si>
  <si>
    <t>Demandas de rotina (total)</t>
  </si>
  <si>
    <t>Demandas de rotina concluídas</t>
  </si>
  <si>
    <t>Obrigações acessórias entregues</t>
  </si>
  <si>
    <t>Iniciativas de Melhoria Contínua concluídas</t>
  </si>
  <si>
    <t>Automações concluídas</t>
  </si>
  <si>
    <t>Horas gastas</t>
  </si>
  <si>
    <t>8. DEPARTAMENTO FINANCEIRO (rotina fora de projetos)</t>
  </si>
  <si>
    <t>Pagamentos em dia (entrada manual — SAP/FBL1N)</t>
  </si>
  <si>
    <t>Pagamentos em atraso (entrada manual — SAP/FBL1N)</t>
  </si>
  <si>
    <t>9. PROJETOS — VISÃO GERAL</t>
  </si>
  <si>
    <t>Economia (R$)</t>
  </si>
  <si>
    <t>Investidas</t>
  </si>
  <si>
    <t>10. PROJETO LUMEN — POR TEMA</t>
  </si>
  <si>
    <t>ISS</t>
  </si>
  <si>
    <t>Diretos</t>
  </si>
  <si>
    <t>Retidos</t>
  </si>
  <si>
    <t>Obrig. Estaduais - DAMEF-MG / DAPI-MG / DECLAN-RJ</t>
  </si>
  <si>
    <t>Obrig. Estaduais - DCIP-SC / DIME-SC / DIF-TO / DOT-ES</t>
  </si>
  <si>
    <t>Obrig. Estaduais - GIA-ST / DIFAL / ICMS Simples Nacional</t>
  </si>
  <si>
    <t>GNRE / CIAP</t>
  </si>
  <si>
    <t>Notas Fiscais (Entradas/Saídas, Correções, Inconformidades)</t>
  </si>
  <si>
    <t>CDC / CFC / MCX</t>
  </si>
  <si>
    <t>Calendário e Dashboards Fiscais / PGTC</t>
  </si>
  <si>
    <t>ECD - SPED Contábil / Balancete, Razão e Diário</t>
  </si>
  <si>
    <t>Sintegra / 3P2M</t>
  </si>
  <si>
    <t>11. PROJETO V360 — POR TEMA</t>
  </si>
  <si>
    <t>12. PROJETO SANEAMENTO BASE CONTÁBIL — POR TEMA</t>
  </si>
  <si>
    <t>PIS e COFINS a Recuperar</t>
  </si>
  <si>
    <t>13. PROJETO NEWSLETTER — POR MÓDULO</t>
  </si>
  <si>
    <t>M03 - FCBF - ICMS</t>
  </si>
  <si>
    <t>M04 - Cadastro</t>
  </si>
  <si>
    <t>M05 - Obrigações Acessórias</t>
  </si>
  <si>
    <t>M06 - Apuração Assistida</t>
  </si>
  <si>
    <t>M07 - Compensação, Ressarcimento e Restituição</t>
  </si>
  <si>
    <t>M08 - Simples Nacional e MEI</t>
  </si>
  <si>
    <t>M09 - Economia Digital</t>
  </si>
  <si>
    <t>M10 - Regimes Diferenciados e Específicos</t>
  </si>
  <si>
    <t>M11 - Planos de Saúde e Prognósticos</t>
  </si>
  <si>
    <t>M12 - Serviços Financeiros</t>
  </si>
  <si>
    <t>M13 - Bens Imóveis</t>
  </si>
  <si>
    <t>M14 - Agronegócio e Cooperativismo</t>
  </si>
  <si>
    <t>M15 - ZFM e ALC</t>
  </si>
  <si>
    <t>M16 - Combustíveis e Energia Elétrica</t>
  </si>
  <si>
    <t>M17 - Imposto Seletivo</t>
  </si>
  <si>
    <t>M18 - Temas Complementares e Casos Práticos</t>
  </si>
  <si>
    <t>14. PROJETO INVESTIDAS — POR TEMA</t>
  </si>
  <si>
    <t>Geral</t>
  </si>
  <si>
    <t>Obrigações Acessórias</t>
  </si>
  <si>
    <t>Suporte Contábil/Fiscal</t>
  </si>
  <si>
    <t>Análises</t>
  </si>
  <si>
    <t>Outros</t>
  </si>
  <si>
    <t>15. PROJETO ACTIO — POR TEMA</t>
  </si>
  <si>
    <t>Cadastro de Indicadores</t>
  </si>
  <si>
    <t>Acompanhamento de Metas</t>
  </si>
  <si>
    <t>Relatórios</t>
  </si>
  <si>
    <t>16. PROJETO INDICADORES E METAS — POR TEMA</t>
  </si>
  <si>
    <t>Meta</t>
  </si>
  <si>
    <t>Relatório Gerencial</t>
  </si>
  <si>
    <t>RELATÓRIO EXECUTIVO MENSAL</t>
  </si>
  <si>
    <t>Planejamento de Entregas e Inovação Operacional — Processos Integrados (Depto. E) · Torre Financeira CSC</t>
  </si>
  <si>
    <t>Mês de Referência:</t>
  </si>
  <si>
    <t>Responsável:</t>
  </si>
  <si>
    <t>Supervisora:</t>
  </si>
  <si>
    <t>Juliana Batista</t>
  </si>
  <si>
    <t>Versão:</t>
  </si>
  <si>
    <t>Data de Emissão:</t>
  </si>
  <si>
    <t>1. MENSAGEM EXECUTIVA</t>
  </si>
  <si>
    <t>(Resumo do mês: principais entregas e resultados alcançados, ganhos de produtividade, riscos, projetos em destaque. Use a coluna "Resultado Alcançado" das linhas com Destaque = Sim.)</t>
  </si>
  <si>
    <t>2. DASHBOARD EXECUTIVO</t>
  </si>
  <si>
    <t>Total de atividades</t>
  </si>
  <si>
    <t>Horas gastas pela equipe</t>
  </si>
  <si>
    <t>Atividades em parceria</t>
  </si>
  <si>
    <t>Destaques do mês</t>
  </si>
  <si>
    <t>3. GANHOS DE PRODUTIVIDADE — ANTES x DEPOIS</t>
  </si>
  <si>
    <t>% de redução média</t>
  </si>
  <si>
    <t>4. PRODUÇÃO POR ANALISTA</t>
  </si>
  <si>
    <t>5. PROCESSOS INTEGRADOS — POR PILAR</t>
  </si>
  <si>
    <t>6. ATUAÇÃO POR DEPARTAMENTO DO CSC</t>
  </si>
  <si>
    <t>Departamento CSC</t>
  </si>
  <si>
    <t>7. DEPARTAMENTO FISCAL/CONTÁBIL (fora de projetos)</t>
  </si>
  <si>
    <t>Melhorias</t>
  </si>
  <si>
    <t>Automações</t>
  </si>
  <si>
    <t>8. DEPARTAMENTO FINANCEIRO (fora de projetos)</t>
  </si>
  <si>
    <t>Pagamentos em dia</t>
  </si>
  <si>
    <t>Pagamentos em atraso</t>
  </si>
  <si>
    <t>9. PROJETOS ESTRATÉGICOS</t>
  </si>
  <si>
    <t>Detalhamento por tema/módulo, tipo de demanda e departamento do CSC na aba Indicadores.</t>
  </si>
  <si>
    <t>10. ROADMAP / PRÓXIMOS PASSOS</t>
  </si>
  <si>
    <t>(Entregas previstas para o próximo mês, melhorias planejadas, riscos e responsáveis.)</t>
  </si>
  <si>
    <t>CADASTROS MESTRES v3.4</t>
  </si>
  <si>
    <t>Fonte única das listas suspensas — alterar somente aqui e replicar nas planilhas dos analistas</t>
  </si>
  <si>
    <t>Projetos</t>
  </si>
  <si>
    <t>Departamentos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</si>
  <si>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</si>
  <si>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</si>
  <si>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</si>
  <si>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</si>
  <si>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</si>
  <si>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</si>
  <si>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</si>
  <si>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</si>
  <si>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</si>
  <si>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</si>
  <si>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</si>
  <si>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</si>
  <si>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</si>
  <si>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🟢 Concluído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</si>
  <si>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</si>
  <si>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</si>
  <si>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</si>
  <si>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</si>
  <si>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</si>
  <si>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</si>
  <si>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</si>
  <si>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EFD ICMS/IPI</t>
  </si>
  <si>
    <t>Pagamentos a Fornecedores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</si>
  <si>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</si>
  <si>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</si>
  <si>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</si>
  <si>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</si>
  <si>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</si>
  <si>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(Técnico)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</si>
  <si>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</si>
  <si>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</si>
  <si>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</si>
  <si>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</si>
  <si>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</si>
  <si>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</si>
  <si>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</si>
  <si>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</si>
  <si>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</si>
  <si>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</si>
  <si>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</si>
  <si>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</si>
  <si>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</si>
  <si>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</si>
  <si>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</si>
  <si>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</si>
  <si>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</si>
  <si>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</si>
  <si>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</si>
  <si>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</si>
  <si>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</si>
  <si>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</si>
  <si>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</si>
  <si>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</si>
  <si>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</si>
  <si>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</si>
  <si>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</si>
  <si>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ECD</t>
  </si>
  <si>
    <t>Contas de Concessionárias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</si>
  <si>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</si>
  <si>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</si>
  <si>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</si>
  <si>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</si>
  <si>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</si>
  <si>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</si>
  <si>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</si>
  <si>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</si>
  <si>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</si>
  <si>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</si>
  <si>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ESUL</t>
  </si>
  <si>
    <t>Licença / Acesso</t>
  </si>
  <si>
    <t>Ruim</t>
  </si>
  <si>
    <t>TemaNewsletter</t>
  </si>
  <si>
    <t>EntBI</t>
  </si>
  <si>
    <t>Pes04</t>
  </si>
  <si>
    <t>ECF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</si>
  <si>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</si>
  <si>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</si>
  <si>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</si>
  <si>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</si>
  <si>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</si>
  <si>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</si>
  <si>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</si>
  <si>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</si>
  <si>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</si>
  <si>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</si>
  <si>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⚪ Não iniciado</t>
  </si>
  <si>
    <t>Aguardando fornecedor</t>
  </si>
  <si>
    <t>Aprovação</t>
  </si>
  <si>
    <t>TemaRotinaFC</t>
  </si>
  <si>
    <t>EntPMO</t>
  </si>
  <si>
    <t>Pes05</t>
  </si>
  <si>
    <t>DCTFWeb</t>
  </si>
  <si>
    <t>Melhorias e Automações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</si>
  <si>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</si>
  <si>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</si>
  <si>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</si>
  <si>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</si>
  <si>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</si>
  <si>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</si>
  <si>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</si>
  <si>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</si>
  <si>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</si>
  <si>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Cancelado</t>
  </si>
  <si>
    <t>Outra</t>
  </si>
  <si>
    <t>Cliente / Usuário</t>
  </si>
  <si>
    <t>TemaRotinaFin</t>
  </si>
  <si>
    <t>EntOper</t>
  </si>
  <si>
    <t>Pes06</t>
  </si>
  <si>
    <t>DIRBI</t>
  </si>
  <si>
    <t>Relatórios e KPIs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</si>
  <si>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</si>
  <si>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</si>
  <si>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</si>
  <si>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</si>
  <si>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</si>
  <si>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</si>
  <si>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</si>
  <si>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</si>
  <si>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</si>
  <si>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N/A</t>
  </si>
  <si>
    <t>Outro</t>
  </si>
  <si>
    <t>TemaInvestidas</t>
  </si>
  <si>
    <t>Pes07</t>
  </si>
  <si>
    <t>EFD-Reinf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</si>
  <si>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</si>
  <si>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</si>
  <si>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</si>
  <si>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</si>
  <si>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</si>
  <si>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</si>
  <si>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</si>
  <si>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</si>
  <si>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</si>
  <si>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TemaActio</t>
  </si>
  <si>
    <t>Pes08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</si>
  <si>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</si>
  <si>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</si>
  <si>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</si>
  <si>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</si>
  <si>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</si>
  <si>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</si>
  <si>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</si>
  <si>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</si>
  <si>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</si>
  <si>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</si>
  <si>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</si>
  <si>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</si>
  <si>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</si>
  <si>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</si>
  <si>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</si>
  <si>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</si>
  <si>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</si>
  <si>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</si>
  <si>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</si>
  <si>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</si>
  <si>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</si>
  <si>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</si>
  <si>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</si>
  <si>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</si>
  <si>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</si>
  <si>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</si>
  <si>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</si>
  <si>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</si>
  <si>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</si>
  <si>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</si>
  <si>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</si>
  <si>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</si>
  <si>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</si>
  <si>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</si>
  <si>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Nadja Buarque</t>
  </si>
  <si>
    <t>Mylene Lira</t>
  </si>
  <si>
    <t>Gleicy Gomes</t>
  </si>
  <si>
    <t>Lucas Bernardo</t>
  </si>
  <si>
    <t>Silvia Helena</t>
  </si>
  <si>
    <t>Fernando Calado</t>
  </si>
  <si>
    <t>Fernando Bruno</t>
  </si>
  <si>
    <t>Maria Helena</t>
  </si>
  <si>
    <t>Luana de Oliveira</t>
  </si>
  <si>
    <t>Roger Melo</t>
  </si>
  <si>
    <t>Thaynara Ávila</t>
  </si>
  <si>
    <t>Josuellington Costa</t>
  </si>
  <si>
    <t>Ítalo Henrique</t>
  </si>
  <si>
    <t>Tiago Pereira</t>
  </si>
  <si>
    <t>Wialy Marlan</t>
  </si>
  <si>
    <t>Maria Eduarda</t>
  </si>
  <si>
    <t>REGRA DE ID ÚNICO — PREFIXOS POR ANALISTA</t>
  </si>
  <si>
    <t>Prefixo</t>
  </si>
  <si>
    <t>JV</t>
  </si>
  <si>
    <t>VL</t>
  </si>
  <si>
    <t>JS</t>
  </si>
  <si>
    <t>FM</t>
  </si>
  <si>
    <t>JB</t>
  </si>
  <si>
    <t>Cada analista usa exclusivamente o seu prefixo. O ID é gerado automaticamente (PREFIXO-0001, PREFIXO-0002...), portanto nunca haverá repetição entre as planilhas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</si>
</sst>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&quot;R$ &quot;#,##0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b/>
      <sz val="20"/>
      <color rgb="FFFFFFFF"/>
      <name val="Arial"/>
      <charset val="1"/>
    </font>
    <font>
      <b/>
      <sz val="11"/>
      <color rgb="FF1F3864"/>
      <name val="Arial"/>
      <charset val="1"/>
    </font>
    <font>
      <u/>
      <sz val="11"/>
      <color theme="1"/>
      <name val="Calibri"/>
      <family val="2"/>
      <charset val="1"/>
    </font>
    <font>
      <b/>
      <u/>
      <sz val="10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0"/>
        <bgColor rgb="FFFFF2CC"/>
      </patternFill>
    </fill>
    <fill>
      <patternFill patternType="solid">
        <fgColor rgb="FFC9A227"/>
        <bgColor rgb="FF99CC00"/>
      </patternFill>
    </fill>
    <fill>
      <patternFill patternType="solid">
        <fgColor rgb="FFFFF2CC"/>
        <bgColor rgb="FFFBF3E0"/>
      </patternFill>
    </fill>
    <fill>
      <patternFill patternType="solid">
        <fgColor rgb="FFF2F2F2"/>
        <bgColor rgb="FFFBF3E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9" fontId="0" fillId="0" borderId="0" xfId="0" applyNumberFormat="1"/>
    <xf numFmtId="0" fontId="8" fillId="0" borderId="0" xfId="0" applyFont="1"/>
    <xf numFmtId="14" fontId="0" fillId="5" borderId="1" xfId="0" applyNumberFormat="1" applyFill="1" applyBorder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14" fontId="9" fillId="0" borderId="1" xfId="0" applyNumberFormat="1" applyFont="1" applyBorder="1"/>
    <xf numFmtId="0" fontId="10" fillId="0" borderId="0" xfId="0" applyFont="1"/>
    <xf numFmtId="0" fontId="0" fillId="5" borderId="1" xfId="0" applyFill="1" applyBorder="1"/>
    <xf numFmtId="9" fontId="9" fillId="0" borderId="1" xfId="0" applyNumberFormat="1" applyFont="1" applyBorder="1"/>
    <xf numFmtId="166" fontId="8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/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0" borderId="2" xfId="0" applyFont="1" applyBorder="1"/>
    <xf numFmtId="0" fontId="6" fillId="2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0" fillId="5" borderId="2" xfId="0" applyFill="1" applyBorder="1"/>
    <xf numFmtId="0" fontId="10" fillId="0" borderId="0" xfId="0" applyFont="1"/>
    <xf numFmtId="0" fontId="10" fillId="0" borderId="3" xfId="0" applyFont="1" applyBorder="1" applyAlignment="1">
      <alignment horizontal="left" vertical="top" wrapText="1"/>
    </xf>
    <xf numFmtId="0" fontId="11" fillId="5" borderId="2" xfId="0" applyFont="1" applyFill="1" applyBorder="1"/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9" fillId="3" borderId="2" xfId="0" applyFont="1" applyFill="1" applyBorder="1"/>
    <xf numFmtId="0" fontId="3" fillId="2" borderId="0" xfId="0" applyFont="1" applyFill="1"/>
    <xf numFmtId="0" fontId="10" fillId="0" borderId="0" xfId="0" applyFont="1" applyAlignment="1">
      <alignment horizontal="left" vertical="top" wrapText="1"/>
    </xf>
    <xf numFmtId="14" fontId="14" fillId="0" borderId="0" xfId="0" applyNumberFormat="1" applyFont="1"/>
    <xf numFmtId="0" fontId="15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Normal="100" workbookViewId="0">
      <selection activeCell="A2" sqref="A2:H2"/>
    </sheetView>
  </sheetViews>
  <sheetFormatPr defaultColWidth="8.6328125" defaultRowHeight="14.5" x14ac:dyDescent="0.35"/>
  <cols>
    <col min="1" max="8" width="16" customWidth="1"/>
  </cols>
  <sheetData>
    <row r="1" spans="1:8" ht="27.75" customHeight="1" x14ac:dyDescent="0.35">
      <c r="A1" s="34" t="s">
        <v>0</v>
      </c>
      <c r="B1" s="34"/>
      <c r="C1" s="34"/>
      <c r="D1" s="34"/>
      <c r="E1" s="34"/>
      <c r="F1" s="34"/>
      <c r="G1" s="34"/>
      <c r="H1" s="34"/>
    </row>
    <row r="2" spans="1:8" x14ac:dyDescent="0.35">
      <c r="A2" s="49" t="s">
        <v>1</v>
      </c>
      <c r="B2" s="49"/>
      <c r="C2" s="49"/>
      <c r="D2" s="49"/>
      <c r="E2" s="49"/>
      <c r="F2" s="49"/>
      <c r="G2" s="49"/>
      <c r="H2" s="49"/>
    </row>
    <row r="4" spans="1:8" ht="19.5" customHeight="1" x14ac:dyDescent="0.35">
      <c r="A4" s="32" t="s">
        <v>2</v>
      </c>
      <c r="B4" s="32"/>
      <c r="C4" s="32"/>
      <c r="D4" s="32"/>
      <c r="E4" s="32"/>
      <c r="F4" s="32"/>
      <c r="G4" s="32"/>
      <c r="H4" s="32"/>
    </row>
    <row r="5" spans="1:8" ht="30" customHeight="1" x14ac:dyDescent="0.35">
      <c r="A5" s="31" t="s">
        <v>3</v>
      </c>
      <c r="B5" s="31"/>
      <c r="C5" s="31"/>
      <c r="D5" s="31"/>
      <c r="E5" s="31"/>
      <c r="F5" s="31"/>
      <c r="G5" s="31"/>
      <c r="H5" s="31"/>
    </row>
    <row r="6" spans="1:8" ht="30" customHeight="1" x14ac:dyDescent="0.35">
      <c r="A6" s="31" t="s">
        <v>4</v>
      </c>
      <c r="B6" s="31"/>
      <c r="C6" s="31"/>
      <c r="D6" s="31"/>
      <c r="E6" s="31"/>
      <c r="F6" s="31"/>
      <c r="G6" s="31"/>
      <c r="H6" s="31"/>
    </row>
    <row r="7" spans="1:8" ht="19.5" customHeight="1" x14ac:dyDescent="0.35">
      <c r="A7" s="32" t="s">
        <v>5</v>
      </c>
      <c r="B7" s="32"/>
      <c r="C7" s="32"/>
      <c r="D7" s="32"/>
      <c r="E7" s="32"/>
      <c r="F7" s="32"/>
      <c r="G7" s="32"/>
      <c r="H7" s="32"/>
    </row>
    <row r="8" spans="1:8" ht="30" customHeight="1" x14ac:dyDescent="0.35">
      <c r="A8" s="31" t="s">
        <v>6</v>
      </c>
      <c r="B8" s="31"/>
      <c r="C8" s="31"/>
      <c r="D8" s="31"/>
      <c r="E8" s="31"/>
      <c r="F8" s="31"/>
      <c r="G8" s="31"/>
      <c r="H8" s="31"/>
    </row>
    <row r="9" spans="1:8" ht="30" customHeight="1" x14ac:dyDescent="0.35">
      <c r="A9" s="31" t="s">
        <v>7</v>
      </c>
      <c r="B9" s="31"/>
      <c r="C9" s="31"/>
      <c r="D9" s="31"/>
      <c r="E9" s="31"/>
      <c r="F9" s="31"/>
      <c r="G9" s="31"/>
      <c r="H9" s="31"/>
    </row>
    <row r="10" spans="1:8" ht="45" customHeight="1" x14ac:dyDescent="0.35">
      <c r="A10" s="31" t="s">
        <v>8</v>
      </c>
      <c r="B10" s="31"/>
      <c r="C10" s="31"/>
      <c r="D10" s="31"/>
      <c r="E10" s="31"/>
      <c r="F10" s="31"/>
      <c r="G10" s="31"/>
      <c r="H10" s="31"/>
    </row>
    <row r="11" spans="1:8" ht="30" customHeight="1" x14ac:dyDescent="0.35">
      <c r="A11" s="31" t="s">
        <v>9</v>
      </c>
      <c r="B11" s="31"/>
      <c r="C11" s="31"/>
      <c r="D11" s="31"/>
      <c r="E11" s="31"/>
      <c r="F11" s="31"/>
      <c r="G11" s="31"/>
      <c r="H11" s="31"/>
    </row>
    <row r="12" spans="1:8" ht="19.5" customHeight="1" x14ac:dyDescent="0.35">
      <c r="A12" s="32" t="s">
        <v>10</v>
      </c>
      <c r="B12" s="32"/>
      <c r="C12" s="32"/>
      <c r="D12" s="32"/>
      <c r="E12" s="32"/>
      <c r="F12" s="32"/>
      <c r="G12" s="32"/>
      <c r="H12" s="32"/>
    </row>
    <row r="13" spans="1:8" ht="30" customHeight="1" x14ac:dyDescent="0.35">
      <c r="A13" s="31" t="s">
        <v>11</v>
      </c>
      <c r="B13" s="31"/>
      <c r="C13" s="31"/>
      <c r="D13" s="31"/>
      <c r="E13" s="31"/>
      <c r="F13" s="31"/>
      <c r="G13" s="31"/>
      <c r="H13" s="31"/>
    </row>
    <row r="14" spans="1:8" ht="30" customHeight="1" x14ac:dyDescent="0.35">
      <c r="A14" s="31" t="s">
        <v>12</v>
      </c>
      <c r="B14" s="31"/>
      <c r="C14" s="31"/>
      <c r="D14" s="31"/>
      <c r="E14" s="31"/>
      <c r="F14" s="31"/>
      <c r="G14" s="31"/>
      <c r="H14" s="31"/>
    </row>
    <row r="15" spans="1:8" ht="15" customHeight="1" x14ac:dyDescent="0.35">
      <c r="A15" s="31" t="s">
        <v>13</v>
      </c>
      <c r="B15" s="31"/>
      <c r="C15" s="31"/>
      <c r="D15" s="31"/>
      <c r="E15" s="31"/>
      <c r="F15" s="31"/>
      <c r="G15" s="31"/>
      <c r="H15" s="31"/>
    </row>
    <row r="16" spans="1:8" ht="19.5" customHeight="1" x14ac:dyDescent="0.35">
      <c r="A16" s="32" t="s">
        <v>14</v>
      </c>
      <c r="B16" s="32"/>
      <c r="C16" s="32"/>
      <c r="D16" s="32"/>
      <c r="E16" s="32"/>
      <c r="F16" s="32"/>
      <c r="G16" s="32"/>
      <c r="H16" s="32"/>
    </row>
    <row r="17" spans="1:8" ht="15" customHeight="1" x14ac:dyDescent="0.35">
      <c r="A17" s="31" t="s">
        <v>15</v>
      </c>
      <c r="B17" s="31"/>
      <c r="C17" s="31"/>
      <c r="D17" s="31"/>
      <c r="E17" s="31"/>
      <c r="F17" s="31"/>
      <c r="G17" s="31"/>
      <c r="H17" s="31"/>
    </row>
    <row r="18" spans="1:8" ht="45" customHeight="1" x14ac:dyDescent="0.35">
      <c r="A18" s="31" t="s">
        <v>16</v>
      </c>
      <c r="B18" s="31"/>
      <c r="C18" s="31"/>
      <c r="D18" s="31"/>
      <c r="E18" s="31"/>
      <c r="F18" s="31"/>
      <c r="G18" s="31"/>
      <c r="H18" s="31"/>
    </row>
    <row r="19" spans="1:8" ht="45" customHeight="1" x14ac:dyDescent="0.35">
      <c r="A19" s="31" t="s">
        <v>17</v>
      </c>
      <c r="B19" s="31"/>
      <c r="C19" s="31"/>
      <c r="D19" s="31"/>
      <c r="E19" s="31"/>
      <c r="F19" s="31"/>
      <c r="G19" s="31"/>
      <c r="H19" s="31"/>
    </row>
    <row r="20" spans="1:8" ht="15" customHeight="1" x14ac:dyDescent="0.35">
      <c r="A20" s="31" t="s">
        <v>18</v>
      </c>
      <c r="B20" s="31"/>
      <c r="C20" s="31"/>
      <c r="D20" s="31"/>
      <c r="E20" s="31"/>
      <c r="F20" s="31"/>
      <c r="G20" s="31"/>
      <c r="H20" s="31"/>
    </row>
    <row r="21" spans="1:8" ht="15" customHeight="1" x14ac:dyDescent="0.35">
      <c r="A21" s="31" t="s">
        <v>19</v>
      </c>
      <c r="B21" s="31"/>
      <c r="C21" s="31"/>
      <c r="D21" s="31"/>
      <c r="E21" s="31"/>
      <c r="F21" s="31"/>
      <c r="G21" s="31"/>
      <c r="H21" s="31"/>
    </row>
    <row r="22" spans="1:8" ht="30" customHeight="1" x14ac:dyDescent="0.35">
      <c r="A22" s="31" t="s">
        <v>20</v>
      </c>
      <c r="B22" s="31"/>
      <c r="C22" s="31"/>
      <c r="D22" s="31"/>
      <c r="E22" s="31"/>
      <c r="F22" s="31"/>
      <c r="G22" s="31"/>
      <c r="H22" s="31"/>
    </row>
    <row r="23" spans="1:8" ht="19.5" customHeight="1" x14ac:dyDescent="0.35">
      <c r="A23" s="32" t="s">
        <v>21</v>
      </c>
      <c r="B23" s="32"/>
      <c r="C23" s="32"/>
      <c r="D23" s="32"/>
      <c r="E23" s="32"/>
      <c r="F23" s="32"/>
      <c r="G23" s="32"/>
      <c r="H23" s="32"/>
    </row>
    <row r="24" spans="1:8" ht="30" customHeight="1" x14ac:dyDescent="0.35">
      <c r="A24" s="33" t="s">
        <v>22</v>
      </c>
      <c r="B24" s="33"/>
      <c r="C24" s="33"/>
      <c r="D24" s="33"/>
      <c r="E24" s="33"/>
      <c r="F24" s="33"/>
      <c r="G24" s="33"/>
      <c r="H24" s="33"/>
    </row>
    <row r="25" spans="1:8" ht="19.5" customHeight="1" x14ac:dyDescent="0.35">
      <c r="A25" s="32" t="s">
        <v>23</v>
      </c>
      <c r="B25" s="32"/>
      <c r="C25" s="32"/>
      <c r="D25" s="32"/>
      <c r="E25" s="32"/>
      <c r="F25" s="32"/>
      <c r="G25" s="32"/>
      <c r="H25" s="32"/>
    </row>
    <row r="26" spans="1:8" ht="30" customHeight="1" x14ac:dyDescent="0.35">
      <c r="A26" s="31" t="s">
        <v>24</v>
      </c>
      <c r="B26" s="31"/>
      <c r="C26" s="31"/>
      <c r="D26" s="31"/>
      <c r="E26" s="31"/>
      <c r="F26" s="31"/>
      <c r="G26" s="31"/>
      <c r="H26" s="31"/>
    </row>
    <row r="27" spans="1:8" ht="15" customHeight="1" x14ac:dyDescent="0.35">
      <c r="A27" s="31" t="s">
        <v>25</v>
      </c>
      <c r="B27" s="31"/>
      <c r="C27" s="31"/>
      <c r="D27" s="31"/>
      <c r="E27" s="31"/>
      <c r="F27" s="31"/>
      <c r="G27" s="31"/>
      <c r="H27" s="31"/>
    </row>
    <row r="28" spans="1:8" ht="15" customHeight="1" x14ac:dyDescent="0.35">
      <c r="A28" s="31" t="s">
        <v>26</v>
      </c>
      <c r="B28" s="31"/>
      <c r="C28" s="31"/>
      <c r="D28" s="31"/>
      <c r="E28" s="31"/>
      <c r="F28" s="31"/>
      <c r="G28" s="31"/>
      <c r="H28" s="31"/>
    </row>
  </sheetData>
  <mergeCells count="27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7:H27"/>
    <mergeCell ref="A28:H28"/>
    <mergeCell ref="A22:H22"/>
    <mergeCell ref="A23:H23"/>
    <mergeCell ref="A24:H24"/>
    <mergeCell ref="A25:H25"/>
    <mergeCell ref="A26:H26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0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9" sqref="C9"/>
    </sheetView>
  </sheetViews>
  <sheetFormatPr defaultColWidth="8.6328125" defaultRowHeight="14.5" x14ac:dyDescent="0.35"/>
  <cols>
    <col min="1" max="1" width="16" customWidth="1"/>
    <col min="2" max="4" width="11" customWidth="1"/>
    <col min="5" max="5" width="17" customWidth="1"/>
    <col min="6" max="6" width="20" customWidth="1"/>
    <col min="7" max="7" width="38" customWidth="1"/>
    <col min="8" max="8" width="19" customWidth="1"/>
    <col min="9" max="9" width="22" customWidth="1"/>
    <col min="10" max="10" width="30" customWidth="1"/>
    <col min="11" max="11" width="40" customWidth="1"/>
    <col min="12" max="12" width="19" customWidth="1"/>
    <col min="13" max="13" width="20" customWidth="1"/>
    <col min="14" max="14" width="9" customWidth="1"/>
    <col min="15" max="15" width="12" customWidth="1"/>
    <col min="16" max="16" width="20" customWidth="1"/>
    <col min="17" max="17" width="12" customWidth="1"/>
    <col min="18" max="18" width="9" customWidth="1"/>
    <col min="19" max="19" width="14" customWidth="1"/>
    <col min="20" max="23" width="10" customWidth="1"/>
    <col min="24" max="24" width="9" customWidth="1"/>
    <col min="25" max="25" width="42" customWidth="1"/>
    <col min="26" max="26" width="26" customWidth="1"/>
    <col min="27" max="27" width="22" customWidth="1"/>
    <col min="28" max="28" width="9" customWidth="1"/>
    <col min="29" max="29" width="10" customWidth="1"/>
    <col min="30" max="30" width="12" customWidth="1"/>
    <col min="31" max="31" width="9" customWidth="1"/>
    <col min="32" max="32" width="17" customWidth="1"/>
    <col min="33" max="33" width="11" customWidth="1"/>
    <col min="34" max="34" width="14" customWidth="1"/>
    <col min="35" max="35" width="26" customWidth="1"/>
    <col min="36" max="36" width="11" customWidth="1"/>
  </cols>
  <sheetData>
    <row r="1" spans="1:36" ht="33.75" customHeight="1" x14ac:dyDescent="0.3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</row>
    <row r="2" spans="1:36" x14ac:dyDescent="0.35">
      <c r="A2" t="s">
        <v>63</v>
      </c>
      <c r="B2" s="4" t="s">
        <v>64</v>
      </c>
      <c r="C2" s="5">
        <v>46205</v>
      </c>
      <c r="D2" s="5">
        <v>46210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R2" t="s">
        <v>76</v>
      </c>
      <c r="S2" t="s">
        <v>77</v>
      </c>
      <c r="T2" s="6">
        <v>8</v>
      </c>
      <c r="U2" s="6">
        <v>60</v>
      </c>
      <c r="V2" s="6">
        <v>1</v>
      </c>
      <c r="W2" s="7">
        <f t="shared" ref="W2:W65" si="0">IF($U2&gt;0,$U2-$V2,"")</f>
        <v>59</v>
      </c>
      <c r="X2" s="8">
        <f t="shared" ref="X2:X65" si="1">IF($U2&gt;0,($U2-$V2)/$U2,"")</f>
        <v>0.98333333333333328</v>
      </c>
      <c r="Y2" t="s">
        <v>78</v>
      </c>
      <c r="Z2" t="s">
        <v>79</v>
      </c>
      <c r="AA2" t="s">
        <v>80</v>
      </c>
      <c r="AB2" t="s">
        <v>81</v>
      </c>
      <c r="AC2" t="s">
        <v>82</v>
      </c>
      <c r="AD2" t="s">
        <v>82</v>
      </c>
      <c r="AE2" t="s">
        <v>83</v>
      </c>
      <c r="AF2" t="s">
        <v>84</v>
      </c>
      <c r="AG2" s="9">
        <v>9</v>
      </c>
      <c r="AH2" s="10"/>
      <c r="AI2" t="s">
        <v>85</v>
      </c>
      <c r="AJ2" t="s">
        <v>81</v>
      </c>
    </row>
    <row r="3" spans="1:36" x14ac:dyDescent="0.35">
      <c r="A3" t="s">
        <v>63</v>
      </c>
      <c r="B3" s="4" t="s">
        <v>86</v>
      </c>
      <c r="C3" s="5">
        <v>46204</v>
      </c>
      <c r="D3" s="5">
        <v>46211</v>
      </c>
      <c r="E3" t="s">
        <v>87</v>
      </c>
      <c r="F3" t="s">
        <v>88</v>
      </c>
      <c r="G3" t="s">
        <v>89</v>
      </c>
      <c r="H3" t="s">
        <v>68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81</v>
      </c>
      <c r="O3" t="s">
        <v>75</v>
      </c>
      <c r="P3" t="s">
        <v>95</v>
      </c>
      <c r="R3" t="s">
        <v>96</v>
      </c>
      <c r="S3" t="s">
        <v>77</v>
      </c>
      <c r="T3" s="6">
        <v>12</v>
      </c>
      <c r="U3" s="6">
        <v>60</v>
      </c>
      <c r="V3" s="6">
        <v>4</v>
      </c>
      <c r="W3" s="7">
        <f t="shared" si="0"/>
        <v>56</v>
      </c>
      <c r="X3" s="8">
        <f t="shared" si="1"/>
        <v>0.93333333333333335</v>
      </c>
      <c r="Y3" t="s">
        <v>97</v>
      </c>
      <c r="Z3" t="s">
        <v>79</v>
      </c>
      <c r="AA3" t="s">
        <v>98</v>
      </c>
      <c r="AB3" t="s">
        <v>81</v>
      </c>
      <c r="AC3" t="s">
        <v>82</v>
      </c>
      <c r="AD3" t="s">
        <v>82</v>
      </c>
      <c r="AE3" t="s">
        <v>83</v>
      </c>
      <c r="AF3" t="s">
        <v>99</v>
      </c>
      <c r="AG3" s="9">
        <v>12</v>
      </c>
      <c r="AH3" s="10"/>
      <c r="AI3" t="s">
        <v>100</v>
      </c>
      <c r="AJ3" t="s">
        <v>81</v>
      </c>
    </row>
    <row r="4" spans="1:36" x14ac:dyDescent="0.35">
      <c r="A4" t="s">
        <v>63</v>
      </c>
      <c r="B4" s="4" t="s">
        <v>101</v>
      </c>
      <c r="C4" s="5">
        <v>46204</v>
      </c>
      <c r="D4" s="5">
        <v>46211</v>
      </c>
      <c r="E4" t="s">
        <v>87</v>
      </c>
      <c r="F4" t="s">
        <v>102</v>
      </c>
      <c r="G4" t="s">
        <v>103</v>
      </c>
      <c r="H4" t="s">
        <v>68</v>
      </c>
      <c r="I4" t="s">
        <v>90</v>
      </c>
      <c r="J4" t="s">
        <v>104</v>
      </c>
      <c r="K4" t="s">
        <v>105</v>
      </c>
      <c r="L4" t="s">
        <v>93</v>
      </c>
      <c r="M4" t="s">
        <v>106</v>
      </c>
      <c r="N4" t="s">
        <v>74</v>
      </c>
      <c r="O4" t="s">
        <v>75</v>
      </c>
      <c r="R4" t="s">
        <v>96</v>
      </c>
      <c r="S4" t="s">
        <v>77</v>
      </c>
      <c r="T4" s="6">
        <v>12</v>
      </c>
      <c r="U4" s="6">
        <v>24</v>
      </c>
      <c r="V4" s="6">
        <v>8</v>
      </c>
      <c r="W4" s="7">
        <f t="shared" si="0"/>
        <v>16</v>
      </c>
      <c r="X4" s="8">
        <f t="shared" si="1"/>
        <v>0.66666666666666663</v>
      </c>
      <c r="Y4" t="s">
        <v>107</v>
      </c>
      <c r="Z4" t="s">
        <v>79</v>
      </c>
      <c r="AA4" t="s">
        <v>108</v>
      </c>
      <c r="AB4" t="s">
        <v>81</v>
      </c>
      <c r="AC4" t="s">
        <v>82</v>
      </c>
      <c r="AD4" t="s">
        <v>82</v>
      </c>
      <c r="AE4" t="s">
        <v>83</v>
      </c>
      <c r="AF4" t="s">
        <v>87</v>
      </c>
      <c r="AG4" s="9">
        <v>12</v>
      </c>
      <c r="AH4" s="10">
        <v>8500</v>
      </c>
      <c r="AI4" t="s">
        <v>109</v>
      </c>
      <c r="AJ4" t="s">
        <v>81</v>
      </c>
    </row>
    <row r="5" spans="1:36" x14ac:dyDescent="0.35">
      <c r="A5" t="s">
        <v>63</v>
      </c>
      <c r="B5" s="4" t="s">
        <v>110</v>
      </c>
      <c r="C5" s="5">
        <v>46207</v>
      </c>
      <c r="D5" s="5">
        <v>46209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74</v>
      </c>
      <c r="O5" t="s">
        <v>75</v>
      </c>
      <c r="R5" t="s">
        <v>76</v>
      </c>
      <c r="S5" t="s">
        <v>120</v>
      </c>
      <c r="T5" s="6">
        <v>8</v>
      </c>
      <c r="U5" s="6"/>
      <c r="V5" s="6"/>
      <c r="W5" s="7" t="str">
        <f t="shared" si="0"/>
        <v/>
      </c>
      <c r="X5" s="8" t="str">
        <f t="shared" si="1"/>
        <v/>
      </c>
      <c r="Y5" t="s">
        <v>121</v>
      </c>
      <c r="Z5" t="s">
        <v>122</v>
      </c>
      <c r="AA5" t="s">
        <v>123</v>
      </c>
      <c r="AB5" t="s">
        <v>74</v>
      </c>
      <c r="AC5" t="s">
        <v>124</v>
      </c>
      <c r="AD5" t="s">
        <v>125</v>
      </c>
      <c r="AE5" t="s">
        <v>126</v>
      </c>
      <c r="AF5" t="s">
        <v>127</v>
      </c>
      <c r="AG5" s="9"/>
      <c r="AH5" s="10"/>
      <c r="AI5" t="s">
        <v>128</v>
      </c>
      <c r="AJ5" t="s">
        <v>74</v>
      </c>
    </row>
    <row r="6" spans="1:36" x14ac:dyDescent="0.35">
      <c r="A6" t="s">
        <v>63</v>
      </c>
      <c r="B6" s="4" t="s">
        <v>129</v>
      </c>
      <c r="C6" s="5">
        <v>46212</v>
      </c>
      <c r="D6" s="5"/>
      <c r="E6" t="s">
        <v>65</v>
      </c>
      <c r="F6" t="s">
        <v>130</v>
      </c>
      <c r="G6" t="s">
        <v>131</v>
      </c>
      <c r="H6" t="s">
        <v>132</v>
      </c>
      <c r="I6" t="s">
        <v>133</v>
      </c>
      <c r="J6" t="s">
        <v>134</v>
      </c>
      <c r="K6" t="s">
        <v>135</v>
      </c>
      <c r="L6" t="s">
        <v>136</v>
      </c>
      <c r="N6" t="s">
        <v>74</v>
      </c>
      <c r="O6" t="s">
        <v>75</v>
      </c>
      <c r="R6" t="s">
        <v>76</v>
      </c>
      <c r="S6" t="s">
        <v>137</v>
      </c>
      <c r="T6" s="6"/>
      <c r="U6" s="6"/>
      <c r="V6" s="6"/>
      <c r="W6" s="7" t="str">
        <f t="shared" si="0"/>
        <v/>
      </c>
      <c r="X6" s="8" t="str">
        <f t="shared" si="1"/>
        <v/>
      </c>
      <c r="Y6" t="s">
        <v>138</v>
      </c>
      <c r="Z6" t="s">
        <v>139</v>
      </c>
      <c r="AA6" t="s">
        <v>140</v>
      </c>
      <c r="AB6" t="s">
        <v>74</v>
      </c>
      <c r="AC6" t="s">
        <v>82</v>
      </c>
      <c r="AD6" t="s">
        <v>82</v>
      </c>
      <c r="AE6" t="s">
        <v>83</v>
      </c>
      <c r="AF6" t="s">
        <v>141</v>
      </c>
      <c r="AG6" s="9"/>
      <c r="AH6" s="10"/>
      <c r="AI6" t="s">
        <v>142</v>
      </c>
      <c r="AJ6" t="s">
        <v>74</v>
      </c>
    </row>
    <row r="7" spans="1:36" x14ac:dyDescent="0.35">
      <c r="A7" t="s">
        <v>63</v>
      </c>
      <c r="B7" s="4" t="s">
        <v>143</v>
      </c>
      <c r="C7" s="5">
        <v>46190</v>
      </c>
      <c r="D7" s="5">
        <v>46192</v>
      </c>
      <c r="E7" t="s">
        <v>65</v>
      </c>
      <c r="F7" t="s">
        <v>144</v>
      </c>
      <c r="H7" t="s">
        <v>68</v>
      </c>
      <c r="I7" t="s">
        <v>145</v>
      </c>
      <c r="J7" t="s">
        <v>146</v>
      </c>
      <c r="K7" t="s">
        <v>147</v>
      </c>
      <c r="L7" t="s">
        <v>136</v>
      </c>
      <c r="M7" t="s">
        <v>148</v>
      </c>
      <c r="N7" t="s">
        <v>74</v>
      </c>
      <c r="O7" t="s">
        <v>75</v>
      </c>
      <c r="R7" t="s">
        <v>149</v>
      </c>
      <c r="S7" t="s">
        <v>137</v>
      </c>
      <c r="T7" s="6">
        <v>16</v>
      </c>
      <c r="U7" s="6">
        <v>6</v>
      </c>
      <c r="V7" s="6">
        <v>1.2</v>
      </c>
      <c r="W7" s="7">
        <f t="shared" si="0"/>
        <v>4.8</v>
      </c>
      <c r="X7" s="8">
        <f t="shared" si="1"/>
        <v>0.79999999999999993</v>
      </c>
      <c r="Y7" t="s">
        <v>150</v>
      </c>
      <c r="Z7" t="s">
        <v>151</v>
      </c>
      <c r="AA7" t="s">
        <v>152</v>
      </c>
      <c r="AB7" t="s">
        <v>74</v>
      </c>
      <c r="AC7" t="s">
        <v>124</v>
      </c>
      <c r="AD7" t="s">
        <v>124</v>
      </c>
      <c r="AE7" t="s">
        <v>126</v>
      </c>
      <c r="AF7" t="s">
        <v>99</v>
      </c>
      <c r="AG7" s="9"/>
      <c r="AH7" s="10"/>
      <c r="AI7" t="s">
        <v>153</v>
      </c>
      <c r="AJ7" t="s">
        <v>74</v>
      </c>
    </row>
    <row r="8" spans="1:36" x14ac:dyDescent="0.35">
      <c r="A8" t="s">
        <v>63</v>
      </c>
      <c r="B8" s="4" t="s">
        <v>154</v>
      </c>
      <c r="C8" s="5">
        <v>46174</v>
      </c>
      <c r="D8" s="5"/>
      <c r="E8" t="s">
        <v>65</v>
      </c>
      <c r="F8" t="s">
        <v>144</v>
      </c>
      <c r="G8" t="s">
        <v>155</v>
      </c>
      <c r="H8" t="s">
        <v>68</v>
      </c>
      <c r="I8" t="s">
        <v>90</v>
      </c>
      <c r="J8" t="s">
        <v>156</v>
      </c>
      <c r="K8" t="s">
        <v>157</v>
      </c>
      <c r="L8" t="s">
        <v>72</v>
      </c>
      <c r="M8" t="s">
        <v>148</v>
      </c>
      <c r="N8" t="s">
        <v>74</v>
      </c>
      <c r="O8" t="s">
        <v>75</v>
      </c>
      <c r="R8" t="s">
        <v>76</v>
      </c>
      <c r="S8" t="s">
        <v>137</v>
      </c>
      <c r="T8" s="6"/>
      <c r="U8" s="6"/>
      <c r="V8" s="6"/>
      <c r="W8" s="7" t="str">
        <f t="shared" si="0"/>
        <v/>
      </c>
      <c r="X8" s="8" t="str">
        <f t="shared" si="1"/>
        <v/>
      </c>
      <c r="Y8" t="s">
        <v>158</v>
      </c>
      <c r="Z8" t="s">
        <v>159</v>
      </c>
      <c r="AA8" t="s">
        <v>160</v>
      </c>
      <c r="AB8" t="s">
        <v>74</v>
      </c>
      <c r="AC8" t="s">
        <v>124</v>
      </c>
      <c r="AD8" t="s">
        <v>124</v>
      </c>
      <c r="AE8" t="s">
        <v>126</v>
      </c>
      <c r="AF8" t="s">
        <v>161</v>
      </c>
      <c r="AG8" s="9"/>
      <c r="AH8" s="10"/>
      <c r="AI8" t="s">
        <v>162</v>
      </c>
      <c r="AJ8" t="s">
        <v>74</v>
      </c>
    </row>
    <row r="9" spans="1:36" x14ac:dyDescent="0.35">
      <c r="A9" t="s">
        <v>63</v>
      </c>
      <c r="B9" s="4" t="s">
        <v>163</v>
      </c>
      <c r="C9" s="48">
        <v>46205</v>
      </c>
      <c r="D9" s="5">
        <v>46205</v>
      </c>
      <c r="E9" t="s">
        <v>87</v>
      </c>
      <c r="F9" t="s">
        <v>130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169</v>
      </c>
      <c r="M9" t="s">
        <v>148</v>
      </c>
      <c r="N9" t="s">
        <v>74</v>
      </c>
      <c r="O9" t="s">
        <v>75</v>
      </c>
      <c r="R9" t="s">
        <v>76</v>
      </c>
      <c r="S9" t="s">
        <v>77</v>
      </c>
      <c r="T9" s="6">
        <v>24</v>
      </c>
      <c r="U9" s="6">
        <v>16</v>
      </c>
      <c r="V9" s="6">
        <v>2</v>
      </c>
      <c r="W9" s="7">
        <f t="shared" si="0"/>
        <v>14</v>
      </c>
      <c r="X9" s="8">
        <f t="shared" si="1"/>
        <v>0.875</v>
      </c>
      <c r="Y9" t="s">
        <v>170</v>
      </c>
      <c r="Z9" t="s">
        <v>171</v>
      </c>
      <c r="AA9" t="s">
        <v>172</v>
      </c>
      <c r="AB9" t="s">
        <v>81</v>
      </c>
      <c r="AC9" t="s">
        <v>124</v>
      </c>
      <c r="AD9" t="s">
        <v>124</v>
      </c>
      <c r="AE9" t="s">
        <v>83</v>
      </c>
      <c r="AF9" t="s">
        <v>84</v>
      </c>
      <c r="AG9" s="9">
        <v>8</v>
      </c>
      <c r="AH9" s="10"/>
      <c r="AI9" t="s">
        <v>173</v>
      </c>
      <c r="AJ9" t="s">
        <v>81</v>
      </c>
    </row>
    <row r="10" spans="1:36" x14ac:dyDescent="0.35">
      <c r="B10" s="4"/>
      <c r="C10" s="5"/>
      <c r="D10" s="5"/>
      <c r="T10" s="6"/>
      <c r="U10" s="6"/>
      <c r="V10" s="6"/>
      <c r="W10" s="7"/>
      <c r="X10" s="8"/>
      <c r="AG10" s="9"/>
      <c r="AH10" s="10"/>
    </row>
    <row r="11" spans="1:36" x14ac:dyDescent="0.35">
      <c r="B11" s="4"/>
      <c r="C11" s="5"/>
      <c r="D11" s="5"/>
      <c r="T11" s="6"/>
      <c r="U11" s="6"/>
      <c r="V11" s="6"/>
      <c r="W11" s="7"/>
      <c r="X11" s="8"/>
      <c r="AG11" s="9"/>
      <c r="AH11" s="10"/>
    </row>
    <row r="12" spans="1:36" x14ac:dyDescent="0.35">
      <c r="B12" s="4"/>
      <c r="C12" s="5"/>
      <c r="D12" s="5"/>
      <c r="T12" s="6"/>
      <c r="U12" s="6"/>
      <c r="V12" s="6"/>
      <c r="W12" s="7"/>
      <c r="X12" s="8"/>
      <c r="AG12" s="9"/>
      <c r="AH12" s="10"/>
    </row>
    <row r="13" spans="1:36" x14ac:dyDescent="0.35">
      <c r="B13" s="4"/>
      <c r="C13" s="5"/>
      <c r="D13" s="5"/>
      <c r="T13" s="6"/>
      <c r="U13" s="6"/>
      <c r="V13" s="6"/>
      <c r="W13" s="7"/>
      <c r="X13" s="8"/>
      <c r="AG13" s="9"/>
      <c r="AH13" s="10"/>
    </row>
    <row r="14" spans="1:36" x14ac:dyDescent="0.35">
      <c r="B14" s="4"/>
      <c r="C14" s="5"/>
      <c r="D14" s="5"/>
      <c r="T14" s="6"/>
      <c r="U14" s="6"/>
      <c r="V14" s="6"/>
      <c r="W14" s="7"/>
      <c r="X14" s="8"/>
      <c r="AG14" s="9"/>
      <c r="AH14" s="10"/>
    </row>
    <row r="15" spans="1:36" x14ac:dyDescent="0.35">
      <c r="B15" s="4"/>
      <c r="C15" s="5"/>
      <c r="D15" s="5"/>
      <c r="T15" s="6"/>
      <c r="U15" s="6"/>
      <c r="V15" s="6"/>
      <c r="W15" s="7"/>
      <c r="X15" s="8"/>
      <c r="AG15" s="9"/>
      <c r="AH15" s="10"/>
    </row>
    <row r="16" spans="1:36" x14ac:dyDescent="0.35">
      <c r="B16" s="4"/>
      <c r="C16" s="5"/>
      <c r="D16" s="5"/>
      <c r="T16" s="6"/>
      <c r="U16" s="6"/>
      <c r="V16" s="6"/>
      <c r="W16" s="7"/>
      <c r="X16" s="8"/>
      <c r="AG16" s="9"/>
      <c r="AH16" s="10"/>
    </row>
    <row r="17" spans="2:34" x14ac:dyDescent="0.35">
      <c r="B17" s="4"/>
      <c r="C17" s="5"/>
      <c r="D17" s="5"/>
      <c r="T17" s="6"/>
      <c r="U17" s="6"/>
      <c r="V17" s="6"/>
      <c r="W17" s="7"/>
      <c r="X17" s="8"/>
      <c r="AG17" s="9"/>
      <c r="AH17" s="10"/>
    </row>
    <row r="18" spans="2:34" x14ac:dyDescent="0.35">
      <c r="B18" s="4"/>
      <c r="C18" s="5"/>
      <c r="D18" s="5"/>
      <c r="T18" s="6"/>
      <c r="U18" s="6"/>
      <c r="V18" s="6"/>
      <c r="W18" s="7"/>
      <c r="X18" s="8"/>
      <c r="AG18" s="9"/>
      <c r="AH18" s="10"/>
    </row>
    <row r="19" spans="2:34" x14ac:dyDescent="0.35">
      <c r="C19" s="5"/>
      <c r="D19" s="5"/>
      <c r="T19" s="6"/>
      <c r="U19" s="6"/>
      <c r="V19" s="6"/>
      <c r="W19" s="7" t="str">
        <f t="shared" si="0"/>
        <v/>
      </c>
      <c r="X19" s="8" t="str">
        <f t="shared" si="1"/>
        <v/>
      </c>
      <c r="AG19" s="9"/>
      <c r="AH19" s="10"/>
    </row>
    <row r="20" spans="2:34" x14ac:dyDescent="0.35">
      <c r="C20" s="5"/>
      <c r="D20" s="5"/>
      <c r="T20" s="6"/>
      <c r="U20" s="6"/>
      <c r="V20" s="6"/>
      <c r="W20" s="7" t="str">
        <f t="shared" si="0"/>
        <v/>
      </c>
      <c r="X20" s="8" t="str">
        <f t="shared" si="1"/>
        <v/>
      </c>
      <c r="AG20" s="9"/>
      <c r="AH20" s="10"/>
    </row>
    <row r="21" spans="2:34" x14ac:dyDescent="0.35">
      <c r="C21" s="5"/>
      <c r="D21" s="5"/>
      <c r="T21" s="6"/>
      <c r="U21" s="6"/>
      <c r="V21" s="6"/>
      <c r="W21" s="7" t="str">
        <f t="shared" si="0"/>
        <v/>
      </c>
      <c r="X21" s="8" t="str">
        <f t="shared" si="1"/>
        <v/>
      </c>
      <c r="AG21" s="9"/>
      <c r="AH21" s="10"/>
    </row>
    <row r="22" spans="2:34" x14ac:dyDescent="0.35">
      <c r="C22" s="5"/>
      <c r="D22" s="5"/>
      <c r="T22" s="6"/>
      <c r="U22" s="6"/>
      <c r="V22" s="6"/>
      <c r="W22" s="7" t="str">
        <f t="shared" si="0"/>
        <v/>
      </c>
      <c r="X22" s="8" t="str">
        <f t="shared" si="1"/>
        <v/>
      </c>
      <c r="AG22" s="9"/>
      <c r="AH22" s="10"/>
    </row>
    <row r="23" spans="2:34" x14ac:dyDescent="0.35">
      <c r="C23" s="5"/>
      <c r="D23" s="5"/>
      <c r="T23" s="6"/>
      <c r="U23" s="6"/>
      <c r="V23" s="6"/>
      <c r="W23" s="7" t="str">
        <f t="shared" si="0"/>
        <v/>
      </c>
      <c r="X23" s="8" t="str">
        <f t="shared" si="1"/>
        <v/>
      </c>
      <c r="AG23" s="9"/>
      <c r="AH23" s="10"/>
    </row>
    <row r="24" spans="2:34" x14ac:dyDescent="0.35">
      <c r="C24" s="5"/>
      <c r="D24" s="5"/>
      <c r="T24" s="6"/>
      <c r="U24" s="6"/>
      <c r="V24" s="6"/>
      <c r="W24" s="7" t="str">
        <f t="shared" si="0"/>
        <v/>
      </c>
      <c r="X24" s="8" t="str">
        <f t="shared" si="1"/>
        <v/>
      </c>
      <c r="AG24" s="9"/>
      <c r="AH24" s="10"/>
    </row>
    <row r="25" spans="2:34" x14ac:dyDescent="0.35">
      <c r="C25" s="5"/>
      <c r="D25" s="5"/>
      <c r="T25" s="6"/>
      <c r="U25" s="6"/>
      <c r="V25" s="6"/>
      <c r="W25" s="7" t="str">
        <f t="shared" si="0"/>
        <v/>
      </c>
      <c r="X25" s="8" t="str">
        <f t="shared" si="1"/>
        <v/>
      </c>
      <c r="AG25" s="9"/>
      <c r="AH25" s="10"/>
    </row>
    <row r="26" spans="2:34" x14ac:dyDescent="0.35">
      <c r="C26" s="5"/>
      <c r="D26" s="5"/>
      <c r="T26" s="6"/>
      <c r="U26" s="6"/>
      <c r="V26" s="6"/>
      <c r="W26" s="7" t="str">
        <f t="shared" si="0"/>
        <v/>
      </c>
      <c r="X26" s="8" t="str">
        <f t="shared" si="1"/>
        <v/>
      </c>
      <c r="AG26" s="9"/>
      <c r="AH26" s="10"/>
    </row>
    <row r="27" spans="2:34" x14ac:dyDescent="0.35">
      <c r="C27" s="5"/>
      <c r="D27" s="5"/>
      <c r="T27" s="6"/>
      <c r="U27" s="6"/>
      <c r="V27" s="6"/>
      <c r="W27" s="7" t="str">
        <f t="shared" si="0"/>
        <v/>
      </c>
      <c r="X27" s="8" t="str">
        <f t="shared" si="1"/>
        <v/>
      </c>
      <c r="AG27" s="9"/>
      <c r="AH27" s="10"/>
    </row>
    <row r="28" spans="2:34" x14ac:dyDescent="0.35">
      <c r="C28" s="5"/>
      <c r="D28" s="5"/>
      <c r="T28" s="6"/>
      <c r="U28" s="6"/>
      <c r="V28" s="6"/>
      <c r="W28" s="7" t="str">
        <f t="shared" si="0"/>
        <v/>
      </c>
      <c r="X28" s="8" t="str">
        <f t="shared" si="1"/>
        <v/>
      </c>
      <c r="AG28" s="9"/>
      <c r="AH28" s="10"/>
    </row>
    <row r="29" spans="2:34" x14ac:dyDescent="0.35">
      <c r="C29" s="5"/>
      <c r="D29" s="5"/>
      <c r="T29" s="6"/>
      <c r="U29" s="6"/>
      <c r="V29" s="6"/>
      <c r="W29" s="7" t="str">
        <f t="shared" si="0"/>
        <v/>
      </c>
      <c r="X29" s="8" t="str">
        <f t="shared" si="1"/>
        <v/>
      </c>
      <c r="AG29" s="9"/>
      <c r="AH29" s="10"/>
    </row>
    <row r="30" spans="2:34" x14ac:dyDescent="0.35">
      <c r="C30" s="5"/>
      <c r="D30" s="5"/>
      <c r="T30" s="6"/>
      <c r="U30" s="6"/>
      <c r="V30" s="6"/>
      <c r="W30" s="7" t="str">
        <f t="shared" si="0"/>
        <v/>
      </c>
      <c r="X30" s="8" t="str">
        <f t="shared" si="1"/>
        <v/>
      </c>
      <c r="AG30" s="9"/>
      <c r="AH30" s="10"/>
    </row>
    <row r="31" spans="2:34" x14ac:dyDescent="0.35">
      <c r="C31" s="5"/>
      <c r="D31" s="5"/>
      <c r="T31" s="6"/>
      <c r="U31" s="6"/>
      <c r="V31" s="6"/>
      <c r="W31" s="7" t="str">
        <f t="shared" si="0"/>
        <v/>
      </c>
      <c r="X31" s="8" t="str">
        <f t="shared" si="1"/>
        <v/>
      </c>
      <c r="AG31" s="9"/>
      <c r="AH31" s="10"/>
    </row>
    <row r="32" spans="2:34" x14ac:dyDescent="0.35">
      <c r="C32" s="5"/>
      <c r="D32" s="5"/>
      <c r="T32" s="6"/>
      <c r="U32" s="6"/>
      <c r="V32" s="6"/>
      <c r="W32" s="7" t="str">
        <f t="shared" si="0"/>
        <v/>
      </c>
      <c r="X32" s="8" t="str">
        <f t="shared" si="1"/>
        <v/>
      </c>
      <c r="AG32" s="9"/>
      <c r="AH32" s="10"/>
    </row>
    <row r="33" spans="3:34" x14ac:dyDescent="0.35">
      <c r="C33" s="5"/>
      <c r="D33" s="5"/>
      <c r="T33" s="6"/>
      <c r="U33" s="6"/>
      <c r="V33" s="6"/>
      <c r="W33" s="7" t="str">
        <f t="shared" si="0"/>
        <v/>
      </c>
      <c r="X33" s="8" t="str">
        <f t="shared" si="1"/>
        <v/>
      </c>
      <c r="AG33" s="9"/>
      <c r="AH33" s="10"/>
    </row>
    <row r="34" spans="3:34" x14ac:dyDescent="0.35">
      <c r="C34" s="5"/>
      <c r="D34" s="5"/>
      <c r="T34" s="6"/>
      <c r="U34" s="6"/>
      <c r="V34" s="6"/>
      <c r="W34" s="7" t="str">
        <f t="shared" si="0"/>
        <v/>
      </c>
      <c r="X34" s="8" t="str">
        <f t="shared" si="1"/>
        <v/>
      </c>
      <c r="AG34" s="9"/>
      <c r="AH34" s="10"/>
    </row>
    <row r="35" spans="3:34" x14ac:dyDescent="0.35">
      <c r="C35" s="5"/>
      <c r="D35" s="5"/>
      <c r="T35" s="6"/>
      <c r="U35" s="6"/>
      <c r="V35" s="6"/>
      <c r="W35" s="7" t="str">
        <f t="shared" si="0"/>
        <v/>
      </c>
      <c r="X35" s="8" t="str">
        <f t="shared" si="1"/>
        <v/>
      </c>
      <c r="AG35" s="9"/>
      <c r="AH35" s="10"/>
    </row>
    <row r="36" spans="3:34" x14ac:dyDescent="0.35">
      <c r="C36" s="5"/>
      <c r="D36" s="5"/>
      <c r="T36" s="6"/>
      <c r="U36" s="6"/>
      <c r="V36" s="6"/>
      <c r="W36" s="7" t="str">
        <f t="shared" si="0"/>
        <v/>
      </c>
      <c r="X36" s="8" t="str">
        <f t="shared" si="1"/>
        <v/>
      </c>
      <c r="AG36" s="9"/>
      <c r="AH36" s="10"/>
    </row>
    <row r="37" spans="3:34" x14ac:dyDescent="0.35">
      <c r="C37" s="5"/>
      <c r="D37" s="5"/>
      <c r="T37" s="6"/>
      <c r="U37" s="6"/>
      <c r="V37" s="6"/>
      <c r="W37" s="7" t="str">
        <f t="shared" si="0"/>
        <v/>
      </c>
      <c r="X37" s="8" t="str">
        <f t="shared" si="1"/>
        <v/>
      </c>
      <c r="AG37" s="9"/>
      <c r="AH37" s="10"/>
    </row>
    <row r="38" spans="3:34" x14ac:dyDescent="0.35">
      <c r="C38" s="5"/>
      <c r="D38" s="5"/>
      <c r="T38" s="6"/>
      <c r="U38" s="6"/>
      <c r="V38" s="6"/>
      <c r="W38" s="7" t="str">
        <f t="shared" si="0"/>
        <v/>
      </c>
      <c r="X38" s="8" t="str">
        <f t="shared" si="1"/>
        <v/>
      </c>
      <c r="AG38" s="9"/>
      <c r="AH38" s="10"/>
    </row>
    <row r="39" spans="3:34" x14ac:dyDescent="0.35">
      <c r="C39" s="5"/>
      <c r="D39" s="5"/>
      <c r="T39" s="6"/>
      <c r="U39" s="6"/>
      <c r="V39" s="6"/>
      <c r="W39" s="7" t="str">
        <f t="shared" si="0"/>
        <v/>
      </c>
      <c r="X39" s="8" t="str">
        <f t="shared" si="1"/>
        <v/>
      </c>
      <c r="AG39" s="9"/>
      <c r="AH39" s="10"/>
    </row>
    <row r="40" spans="3:34" x14ac:dyDescent="0.35">
      <c r="C40" s="5"/>
      <c r="D40" s="5"/>
      <c r="T40" s="6"/>
      <c r="U40" s="6"/>
      <c r="V40" s="6"/>
      <c r="W40" s="7" t="str">
        <f t="shared" si="0"/>
        <v/>
      </c>
      <c r="X40" s="8" t="str">
        <f t="shared" si="1"/>
        <v/>
      </c>
      <c r="AG40" s="9"/>
      <c r="AH40" s="10"/>
    </row>
    <row r="41" spans="3:34" x14ac:dyDescent="0.35">
      <c r="C41" s="5"/>
      <c r="D41" s="5"/>
      <c r="T41" s="6"/>
      <c r="U41" s="6"/>
      <c r="V41" s="6"/>
      <c r="W41" s="7" t="str">
        <f t="shared" si="0"/>
        <v/>
      </c>
      <c r="X41" s="8" t="str">
        <f t="shared" si="1"/>
        <v/>
      </c>
      <c r="AG41" s="9"/>
      <c r="AH41" s="10"/>
    </row>
    <row r="42" spans="3:34" x14ac:dyDescent="0.35">
      <c r="C42" s="5"/>
      <c r="D42" s="5"/>
      <c r="T42" s="6"/>
      <c r="U42" s="6"/>
      <c r="V42" s="6"/>
      <c r="W42" s="7" t="str">
        <f t="shared" si="0"/>
        <v/>
      </c>
      <c r="X42" s="8" t="str">
        <f t="shared" si="1"/>
        <v/>
      </c>
      <c r="AG42" s="9"/>
      <c r="AH42" s="10"/>
    </row>
    <row r="43" spans="3:34" x14ac:dyDescent="0.35">
      <c r="C43" s="5"/>
      <c r="D43" s="5"/>
      <c r="T43" s="6"/>
      <c r="U43" s="6"/>
      <c r="V43" s="6"/>
      <c r="W43" s="7" t="str">
        <f t="shared" si="0"/>
        <v/>
      </c>
      <c r="X43" s="8" t="str">
        <f t="shared" si="1"/>
        <v/>
      </c>
      <c r="AG43" s="9"/>
      <c r="AH43" s="10"/>
    </row>
    <row r="44" spans="3:34" x14ac:dyDescent="0.35">
      <c r="C44" s="5"/>
      <c r="D44" s="5"/>
      <c r="T44" s="6"/>
      <c r="U44" s="6"/>
      <c r="V44" s="6"/>
      <c r="W44" s="7" t="str">
        <f t="shared" si="0"/>
        <v/>
      </c>
      <c r="X44" s="8" t="str">
        <f t="shared" si="1"/>
        <v/>
      </c>
      <c r="AG44" s="9"/>
      <c r="AH44" s="10"/>
    </row>
    <row r="45" spans="3:34" x14ac:dyDescent="0.35">
      <c r="C45" s="5"/>
      <c r="D45" s="5"/>
      <c r="T45" s="6"/>
      <c r="U45" s="6"/>
      <c r="V45" s="6"/>
      <c r="W45" s="7" t="str">
        <f t="shared" si="0"/>
        <v/>
      </c>
      <c r="X45" s="8" t="str">
        <f t="shared" si="1"/>
        <v/>
      </c>
      <c r="AG45" s="9"/>
      <c r="AH45" s="10"/>
    </row>
    <row r="46" spans="3:34" x14ac:dyDescent="0.35">
      <c r="C46" s="5"/>
      <c r="D46" s="5"/>
      <c r="T46" s="6"/>
      <c r="U46" s="6"/>
      <c r="V46" s="6"/>
      <c r="W46" s="7" t="str">
        <f t="shared" si="0"/>
        <v/>
      </c>
      <c r="X46" s="8" t="str">
        <f t="shared" si="1"/>
        <v/>
      </c>
      <c r="AG46" s="9"/>
      <c r="AH46" s="10"/>
    </row>
    <row r="47" spans="3:34" x14ac:dyDescent="0.35">
      <c r="C47" s="5"/>
      <c r="D47" s="5"/>
      <c r="T47" s="6"/>
      <c r="U47" s="6"/>
      <c r="V47" s="6"/>
      <c r="W47" s="7" t="str">
        <f t="shared" si="0"/>
        <v/>
      </c>
      <c r="X47" s="8" t="str">
        <f t="shared" si="1"/>
        <v/>
      </c>
      <c r="AG47" s="9"/>
      <c r="AH47" s="10"/>
    </row>
    <row r="48" spans="3:34" x14ac:dyDescent="0.35">
      <c r="C48" s="5"/>
      <c r="D48" s="5"/>
      <c r="T48" s="6"/>
      <c r="U48" s="6"/>
      <c r="V48" s="6"/>
      <c r="W48" s="7" t="str">
        <f t="shared" si="0"/>
        <v/>
      </c>
      <c r="X48" s="8" t="str">
        <f t="shared" si="1"/>
        <v/>
      </c>
      <c r="AG48" s="9"/>
      <c r="AH48" s="10"/>
    </row>
    <row r="49" spans="3:34" x14ac:dyDescent="0.35">
      <c r="C49" s="5"/>
      <c r="D49" s="5"/>
      <c r="T49" s="6"/>
      <c r="U49" s="6"/>
      <c r="V49" s="6"/>
      <c r="W49" s="7" t="str">
        <f t="shared" si="0"/>
        <v/>
      </c>
      <c r="X49" s="8" t="str">
        <f t="shared" si="1"/>
        <v/>
      </c>
      <c r="AG49" s="9"/>
      <c r="AH49" s="10"/>
    </row>
    <row r="50" spans="3:34" x14ac:dyDescent="0.35">
      <c r="C50" s="5"/>
      <c r="D50" s="5"/>
      <c r="T50" s="6"/>
      <c r="U50" s="6"/>
      <c r="V50" s="6"/>
      <c r="W50" s="7" t="str">
        <f t="shared" si="0"/>
        <v/>
      </c>
      <c r="X50" s="8" t="str">
        <f t="shared" si="1"/>
        <v/>
      </c>
      <c r="AG50" s="9"/>
      <c r="AH50" s="10"/>
    </row>
    <row r="51" spans="3:34" x14ac:dyDescent="0.35">
      <c r="C51" s="5"/>
      <c r="D51" s="5"/>
      <c r="T51" s="6"/>
      <c r="U51" s="6"/>
      <c r="V51" s="6"/>
      <c r="W51" s="7" t="str">
        <f t="shared" si="0"/>
        <v/>
      </c>
      <c r="X51" s="8" t="str">
        <f t="shared" si="1"/>
        <v/>
      </c>
      <c r="AG51" s="9"/>
      <c r="AH51" s="10"/>
    </row>
    <row r="52" spans="3:34" x14ac:dyDescent="0.35">
      <c r="C52" s="5"/>
      <c r="D52" s="5"/>
      <c r="T52" s="6"/>
      <c r="U52" s="6"/>
      <c r="V52" s="6"/>
      <c r="W52" s="7" t="str">
        <f t="shared" si="0"/>
        <v/>
      </c>
      <c r="X52" s="8" t="str">
        <f t="shared" si="1"/>
        <v/>
      </c>
      <c r="AG52" s="9"/>
      <c r="AH52" s="10"/>
    </row>
    <row r="53" spans="3:34" x14ac:dyDescent="0.35">
      <c r="C53" s="5"/>
      <c r="D53" s="5"/>
      <c r="T53" s="6"/>
      <c r="U53" s="6"/>
      <c r="V53" s="6"/>
      <c r="W53" s="7" t="str">
        <f t="shared" si="0"/>
        <v/>
      </c>
      <c r="X53" s="8" t="str">
        <f t="shared" si="1"/>
        <v/>
      </c>
      <c r="AG53" s="9"/>
      <c r="AH53" s="10"/>
    </row>
    <row r="54" spans="3:34" x14ac:dyDescent="0.35">
      <c r="C54" s="5"/>
      <c r="D54" s="5"/>
      <c r="T54" s="6"/>
      <c r="U54" s="6"/>
      <c r="V54" s="6"/>
      <c r="W54" s="7" t="str">
        <f t="shared" si="0"/>
        <v/>
      </c>
      <c r="X54" s="8" t="str">
        <f t="shared" si="1"/>
        <v/>
      </c>
      <c r="AG54" s="9"/>
      <c r="AH54" s="10"/>
    </row>
    <row r="55" spans="3:34" x14ac:dyDescent="0.35">
      <c r="C55" s="5"/>
      <c r="D55" s="5"/>
      <c r="T55" s="6"/>
      <c r="U55" s="6"/>
      <c r="V55" s="6"/>
      <c r="W55" s="7" t="str">
        <f t="shared" si="0"/>
        <v/>
      </c>
      <c r="X55" s="8" t="str">
        <f t="shared" si="1"/>
        <v/>
      </c>
      <c r="AG55" s="9"/>
      <c r="AH55" s="10"/>
    </row>
    <row r="56" spans="3:34" x14ac:dyDescent="0.35">
      <c r="C56" s="5"/>
      <c r="D56" s="5"/>
      <c r="T56" s="6"/>
      <c r="U56" s="6"/>
      <c r="V56" s="6"/>
      <c r="W56" s="7" t="str">
        <f t="shared" si="0"/>
        <v/>
      </c>
      <c r="X56" s="8" t="str">
        <f t="shared" si="1"/>
        <v/>
      </c>
      <c r="AG56" s="9"/>
      <c r="AH56" s="10"/>
    </row>
    <row r="57" spans="3:34" x14ac:dyDescent="0.35">
      <c r="C57" s="5"/>
      <c r="D57" s="5"/>
      <c r="T57" s="6"/>
      <c r="U57" s="6"/>
      <c r="V57" s="6"/>
      <c r="W57" s="7" t="str">
        <f t="shared" si="0"/>
        <v/>
      </c>
      <c r="X57" s="8" t="str">
        <f t="shared" si="1"/>
        <v/>
      </c>
      <c r="AG57" s="9"/>
      <c r="AH57" s="10"/>
    </row>
    <row r="58" spans="3:34" x14ac:dyDescent="0.35">
      <c r="C58" s="5"/>
      <c r="D58" s="5"/>
      <c r="T58" s="6"/>
      <c r="U58" s="6"/>
      <c r="V58" s="6"/>
      <c r="W58" s="7" t="str">
        <f t="shared" si="0"/>
        <v/>
      </c>
      <c r="X58" s="8" t="str">
        <f t="shared" si="1"/>
        <v/>
      </c>
      <c r="AG58" s="9"/>
      <c r="AH58" s="10"/>
    </row>
    <row r="59" spans="3:34" x14ac:dyDescent="0.35">
      <c r="C59" s="5"/>
      <c r="D59" s="5"/>
      <c r="T59" s="6"/>
      <c r="U59" s="6"/>
      <c r="V59" s="6"/>
      <c r="W59" s="7" t="str">
        <f t="shared" si="0"/>
        <v/>
      </c>
      <c r="X59" s="8" t="str">
        <f t="shared" si="1"/>
        <v/>
      </c>
      <c r="AG59" s="9"/>
      <c r="AH59" s="10"/>
    </row>
    <row r="60" spans="3:34" x14ac:dyDescent="0.35">
      <c r="C60" s="5"/>
      <c r="D60" s="5"/>
      <c r="T60" s="6"/>
      <c r="U60" s="6"/>
      <c r="V60" s="6"/>
      <c r="W60" s="7" t="str">
        <f t="shared" si="0"/>
        <v/>
      </c>
      <c r="X60" s="8" t="str">
        <f t="shared" si="1"/>
        <v/>
      </c>
      <c r="AG60" s="9"/>
      <c r="AH60" s="10"/>
    </row>
    <row r="61" spans="3:34" x14ac:dyDescent="0.35">
      <c r="C61" s="5"/>
      <c r="D61" s="5"/>
      <c r="T61" s="6"/>
      <c r="U61" s="6"/>
      <c r="V61" s="6"/>
      <c r="W61" s="7" t="str">
        <f t="shared" si="0"/>
        <v/>
      </c>
      <c r="X61" s="8" t="str">
        <f t="shared" si="1"/>
        <v/>
      </c>
      <c r="AG61" s="9"/>
      <c r="AH61" s="10"/>
    </row>
    <row r="62" spans="3:34" x14ac:dyDescent="0.35">
      <c r="C62" s="5"/>
      <c r="D62" s="5"/>
      <c r="T62" s="6"/>
      <c r="U62" s="6"/>
      <c r="V62" s="6"/>
      <c r="W62" s="7" t="str">
        <f t="shared" si="0"/>
        <v/>
      </c>
      <c r="X62" s="8" t="str">
        <f t="shared" si="1"/>
        <v/>
      </c>
      <c r="AG62" s="9"/>
      <c r="AH62" s="10"/>
    </row>
    <row r="63" spans="3:34" x14ac:dyDescent="0.35">
      <c r="C63" s="5"/>
      <c r="D63" s="5"/>
      <c r="T63" s="6"/>
      <c r="U63" s="6"/>
      <c r="V63" s="6"/>
      <c r="W63" s="7" t="str">
        <f t="shared" si="0"/>
        <v/>
      </c>
      <c r="X63" s="8" t="str">
        <f t="shared" si="1"/>
        <v/>
      </c>
      <c r="AG63" s="9"/>
      <c r="AH63" s="10"/>
    </row>
    <row r="64" spans="3:34" x14ac:dyDescent="0.35">
      <c r="C64" s="5"/>
      <c r="D64" s="5"/>
      <c r="T64" s="6"/>
      <c r="U64" s="6"/>
      <c r="V64" s="6"/>
      <c r="W64" s="7" t="str">
        <f t="shared" si="0"/>
        <v/>
      </c>
      <c r="X64" s="8" t="str">
        <f t="shared" si="1"/>
        <v/>
      </c>
      <c r="AG64" s="9"/>
      <c r="AH64" s="10"/>
    </row>
    <row r="65" spans="3:34" x14ac:dyDescent="0.35">
      <c r="C65" s="5"/>
      <c r="D65" s="5"/>
      <c r="T65" s="6"/>
      <c r="U65" s="6"/>
      <c r="V65" s="6"/>
      <c r="W65" s="7" t="str">
        <f t="shared" si="0"/>
        <v/>
      </c>
      <c r="X65" s="8" t="str">
        <f t="shared" si="1"/>
        <v/>
      </c>
      <c r="AG65" s="9"/>
      <c r="AH65" s="10"/>
    </row>
    <row r="66" spans="3:34" x14ac:dyDescent="0.35">
      <c r="C66" s="5"/>
      <c r="D66" s="5"/>
      <c r="T66" s="6"/>
      <c r="U66" s="6"/>
      <c r="V66" s="6"/>
      <c r="W66" s="7" t="str">
        <f t="shared" ref="W66:W129" si="2">IF($U66&gt;0,$U66-$V66,"")</f>
        <v/>
      </c>
      <c r="X66" s="8" t="str">
        <f t="shared" ref="X66:X129" si="3">IF($U66&gt;0,($U66-$V66)/$U66,"")</f>
        <v/>
      </c>
      <c r="AG66" s="9"/>
      <c r="AH66" s="10"/>
    </row>
    <row r="67" spans="3:34" x14ac:dyDescent="0.35">
      <c r="C67" s="5"/>
      <c r="D67" s="5"/>
      <c r="T67" s="6"/>
      <c r="U67" s="6"/>
      <c r="V67" s="6"/>
      <c r="W67" s="7" t="str">
        <f t="shared" si="2"/>
        <v/>
      </c>
      <c r="X67" s="8" t="str">
        <f t="shared" si="3"/>
        <v/>
      </c>
      <c r="AG67" s="9"/>
      <c r="AH67" s="10"/>
    </row>
    <row r="68" spans="3:34" x14ac:dyDescent="0.35">
      <c r="C68" s="5"/>
      <c r="D68" s="5"/>
      <c r="T68" s="6"/>
      <c r="U68" s="6"/>
      <c r="V68" s="6"/>
      <c r="W68" s="7" t="str">
        <f t="shared" si="2"/>
        <v/>
      </c>
      <c r="X68" s="8" t="str">
        <f t="shared" si="3"/>
        <v/>
      </c>
      <c r="AG68" s="9"/>
      <c r="AH68" s="10"/>
    </row>
    <row r="69" spans="3:34" x14ac:dyDescent="0.35">
      <c r="C69" s="5"/>
      <c r="D69" s="5"/>
      <c r="T69" s="6"/>
      <c r="U69" s="6"/>
      <c r="V69" s="6"/>
      <c r="W69" s="7" t="str">
        <f t="shared" si="2"/>
        <v/>
      </c>
      <c r="X69" s="8" t="str">
        <f t="shared" si="3"/>
        <v/>
      </c>
      <c r="AG69" s="9"/>
      <c r="AH69" s="10"/>
    </row>
    <row r="70" spans="3:34" x14ac:dyDescent="0.35">
      <c r="C70" s="5"/>
      <c r="D70" s="5"/>
      <c r="T70" s="6"/>
      <c r="U70" s="6"/>
      <c r="V70" s="6"/>
      <c r="W70" s="7" t="str">
        <f t="shared" si="2"/>
        <v/>
      </c>
      <c r="X70" s="8" t="str">
        <f t="shared" si="3"/>
        <v/>
      </c>
      <c r="AG70" s="9"/>
      <c r="AH70" s="10"/>
    </row>
    <row r="71" spans="3:34" x14ac:dyDescent="0.35">
      <c r="C71" s="5"/>
      <c r="D71" s="5"/>
      <c r="T71" s="6"/>
      <c r="U71" s="6"/>
      <c r="V71" s="6"/>
      <c r="W71" s="7" t="str">
        <f t="shared" si="2"/>
        <v/>
      </c>
      <c r="X71" s="8" t="str">
        <f t="shared" si="3"/>
        <v/>
      </c>
      <c r="AG71" s="9"/>
      <c r="AH71" s="10"/>
    </row>
    <row r="72" spans="3:34" x14ac:dyDescent="0.35">
      <c r="C72" s="5"/>
      <c r="D72" s="5"/>
      <c r="T72" s="6"/>
      <c r="U72" s="6"/>
      <c r="V72" s="6"/>
      <c r="W72" s="7" t="str">
        <f t="shared" si="2"/>
        <v/>
      </c>
      <c r="X72" s="8" t="str">
        <f t="shared" si="3"/>
        <v/>
      </c>
      <c r="AG72" s="9"/>
      <c r="AH72" s="10"/>
    </row>
    <row r="73" spans="3:34" x14ac:dyDescent="0.35">
      <c r="C73" s="5"/>
      <c r="D73" s="5"/>
      <c r="T73" s="6"/>
      <c r="U73" s="6"/>
      <c r="V73" s="6"/>
      <c r="W73" s="7" t="str">
        <f t="shared" si="2"/>
        <v/>
      </c>
      <c r="X73" s="8" t="str">
        <f t="shared" si="3"/>
        <v/>
      </c>
      <c r="AG73" s="9"/>
      <c r="AH73" s="10"/>
    </row>
    <row r="74" spans="3:34" x14ac:dyDescent="0.35">
      <c r="C74" s="5"/>
      <c r="D74" s="5"/>
      <c r="T74" s="6"/>
      <c r="U74" s="6"/>
      <c r="V74" s="6"/>
      <c r="W74" s="7" t="str">
        <f t="shared" si="2"/>
        <v/>
      </c>
      <c r="X74" s="8" t="str">
        <f t="shared" si="3"/>
        <v/>
      </c>
      <c r="AG74" s="9"/>
      <c r="AH74" s="10"/>
    </row>
    <row r="75" spans="3:34" x14ac:dyDescent="0.35">
      <c r="C75" s="5"/>
      <c r="D75" s="5"/>
      <c r="T75" s="6"/>
      <c r="U75" s="6"/>
      <c r="V75" s="6"/>
      <c r="W75" s="7" t="str">
        <f t="shared" si="2"/>
        <v/>
      </c>
      <c r="X75" s="8" t="str">
        <f t="shared" si="3"/>
        <v/>
      </c>
      <c r="AG75" s="9"/>
      <c r="AH75" s="10"/>
    </row>
    <row r="76" spans="3:34" x14ac:dyDescent="0.35">
      <c r="C76" s="5"/>
      <c r="D76" s="5"/>
      <c r="T76" s="6"/>
      <c r="U76" s="6"/>
      <c r="V76" s="6"/>
      <c r="W76" s="7" t="str">
        <f t="shared" si="2"/>
        <v/>
      </c>
      <c r="X76" s="8" t="str">
        <f t="shared" si="3"/>
        <v/>
      </c>
      <c r="AG76" s="9"/>
      <c r="AH76" s="10"/>
    </row>
    <row r="77" spans="3:34" x14ac:dyDescent="0.35">
      <c r="C77" s="5"/>
      <c r="D77" s="5"/>
      <c r="T77" s="6"/>
      <c r="U77" s="6"/>
      <c r="V77" s="6"/>
      <c r="W77" s="7" t="str">
        <f t="shared" si="2"/>
        <v/>
      </c>
      <c r="X77" s="8" t="str">
        <f t="shared" si="3"/>
        <v/>
      </c>
      <c r="AG77" s="9"/>
      <c r="AH77" s="10"/>
    </row>
    <row r="78" spans="3:34" x14ac:dyDescent="0.35">
      <c r="C78" s="5"/>
      <c r="D78" s="5"/>
      <c r="T78" s="6"/>
      <c r="U78" s="6"/>
      <c r="V78" s="6"/>
      <c r="W78" s="7" t="str">
        <f t="shared" si="2"/>
        <v/>
      </c>
      <c r="X78" s="8" t="str">
        <f t="shared" si="3"/>
        <v/>
      </c>
      <c r="AG78" s="9"/>
      <c r="AH78" s="10"/>
    </row>
    <row r="79" spans="3:34" x14ac:dyDescent="0.35">
      <c r="C79" s="5"/>
      <c r="D79" s="5"/>
      <c r="T79" s="6"/>
      <c r="U79" s="6"/>
      <c r="V79" s="6"/>
      <c r="W79" s="7" t="str">
        <f t="shared" si="2"/>
        <v/>
      </c>
      <c r="X79" s="8" t="str">
        <f t="shared" si="3"/>
        <v/>
      </c>
      <c r="AG79" s="9"/>
      <c r="AH79" s="10"/>
    </row>
    <row r="80" spans="3:34" x14ac:dyDescent="0.35">
      <c r="C80" s="5"/>
      <c r="D80" s="5"/>
      <c r="T80" s="6"/>
      <c r="U80" s="6"/>
      <c r="V80" s="6"/>
      <c r="W80" s="7" t="str">
        <f t="shared" si="2"/>
        <v/>
      </c>
      <c r="X80" s="8" t="str">
        <f t="shared" si="3"/>
        <v/>
      </c>
      <c r="AG80" s="9"/>
      <c r="AH80" s="10"/>
    </row>
    <row r="81" spans="3:34" x14ac:dyDescent="0.35">
      <c r="C81" s="5"/>
      <c r="D81" s="5"/>
      <c r="T81" s="6"/>
      <c r="U81" s="6"/>
      <c r="V81" s="6"/>
      <c r="W81" s="7" t="str">
        <f t="shared" si="2"/>
        <v/>
      </c>
      <c r="X81" s="8" t="str">
        <f t="shared" si="3"/>
        <v/>
      </c>
      <c r="AG81" s="9"/>
      <c r="AH81" s="10"/>
    </row>
    <row r="82" spans="3:34" x14ac:dyDescent="0.35">
      <c r="C82" s="5"/>
      <c r="D82" s="5"/>
      <c r="T82" s="6"/>
      <c r="U82" s="6"/>
      <c r="V82" s="6"/>
      <c r="W82" s="7" t="str">
        <f t="shared" si="2"/>
        <v/>
      </c>
      <c r="X82" s="8" t="str">
        <f t="shared" si="3"/>
        <v/>
      </c>
      <c r="AG82" s="9"/>
      <c r="AH82" s="10"/>
    </row>
    <row r="83" spans="3:34" x14ac:dyDescent="0.35">
      <c r="C83" s="5"/>
      <c r="D83" s="5"/>
      <c r="T83" s="6"/>
      <c r="U83" s="6"/>
      <c r="V83" s="6"/>
      <c r="W83" s="7" t="str">
        <f t="shared" si="2"/>
        <v/>
      </c>
      <c r="X83" s="8" t="str">
        <f t="shared" si="3"/>
        <v/>
      </c>
      <c r="AG83" s="9"/>
      <c r="AH83" s="10"/>
    </row>
    <row r="84" spans="3:34" x14ac:dyDescent="0.35">
      <c r="C84" s="5"/>
      <c r="D84" s="5"/>
      <c r="T84" s="6"/>
      <c r="U84" s="6"/>
      <c r="V84" s="6"/>
      <c r="W84" s="7" t="str">
        <f t="shared" si="2"/>
        <v/>
      </c>
      <c r="X84" s="8" t="str">
        <f t="shared" si="3"/>
        <v/>
      </c>
      <c r="AG84" s="9"/>
      <c r="AH84" s="10"/>
    </row>
    <row r="85" spans="3:34" x14ac:dyDescent="0.35">
      <c r="C85" s="5"/>
      <c r="D85" s="5"/>
      <c r="T85" s="6"/>
      <c r="U85" s="6"/>
      <c r="V85" s="6"/>
      <c r="W85" s="7" t="str">
        <f t="shared" si="2"/>
        <v/>
      </c>
      <c r="X85" s="8" t="str">
        <f t="shared" si="3"/>
        <v/>
      </c>
      <c r="AG85" s="9"/>
      <c r="AH85" s="10"/>
    </row>
    <row r="86" spans="3:34" x14ac:dyDescent="0.35">
      <c r="C86" s="5"/>
      <c r="D86" s="5"/>
      <c r="T86" s="6"/>
      <c r="U86" s="6"/>
      <c r="V86" s="6"/>
      <c r="W86" s="7" t="str">
        <f t="shared" si="2"/>
        <v/>
      </c>
      <c r="X86" s="8" t="str">
        <f t="shared" si="3"/>
        <v/>
      </c>
      <c r="AG86" s="9"/>
      <c r="AH86" s="10"/>
    </row>
    <row r="87" spans="3:34" x14ac:dyDescent="0.35">
      <c r="C87" s="5"/>
      <c r="D87" s="5"/>
      <c r="T87" s="6"/>
      <c r="U87" s="6"/>
      <c r="V87" s="6"/>
      <c r="W87" s="7" t="str">
        <f t="shared" si="2"/>
        <v/>
      </c>
      <c r="X87" s="8" t="str">
        <f t="shared" si="3"/>
        <v/>
      </c>
      <c r="AG87" s="9"/>
      <c r="AH87" s="10"/>
    </row>
    <row r="88" spans="3:34" x14ac:dyDescent="0.35">
      <c r="C88" s="5"/>
      <c r="D88" s="5"/>
      <c r="T88" s="6"/>
      <c r="U88" s="6"/>
      <c r="V88" s="6"/>
      <c r="W88" s="7" t="str">
        <f t="shared" si="2"/>
        <v/>
      </c>
      <c r="X88" s="8" t="str">
        <f t="shared" si="3"/>
        <v/>
      </c>
      <c r="AG88" s="9"/>
      <c r="AH88" s="10"/>
    </row>
    <row r="89" spans="3:34" x14ac:dyDescent="0.35">
      <c r="C89" s="5"/>
      <c r="D89" s="5"/>
      <c r="T89" s="6"/>
      <c r="U89" s="6"/>
      <c r="V89" s="6"/>
      <c r="W89" s="7" t="str">
        <f t="shared" si="2"/>
        <v/>
      </c>
      <c r="X89" s="8" t="str">
        <f t="shared" si="3"/>
        <v/>
      </c>
      <c r="AG89" s="9"/>
      <c r="AH89" s="10"/>
    </row>
    <row r="90" spans="3:34" x14ac:dyDescent="0.35">
      <c r="C90" s="5"/>
      <c r="D90" s="5"/>
      <c r="T90" s="6"/>
      <c r="U90" s="6"/>
      <c r="V90" s="6"/>
      <c r="W90" s="7" t="str">
        <f t="shared" si="2"/>
        <v/>
      </c>
      <c r="X90" s="8" t="str">
        <f t="shared" si="3"/>
        <v/>
      </c>
      <c r="AG90" s="9"/>
      <c r="AH90" s="10"/>
    </row>
    <row r="91" spans="3:34" x14ac:dyDescent="0.35">
      <c r="C91" s="5"/>
      <c r="D91" s="5"/>
      <c r="T91" s="6"/>
      <c r="U91" s="6"/>
      <c r="V91" s="6"/>
      <c r="W91" s="7" t="str">
        <f t="shared" si="2"/>
        <v/>
      </c>
      <c r="X91" s="8" t="str">
        <f t="shared" si="3"/>
        <v/>
      </c>
      <c r="AG91" s="9"/>
      <c r="AH91" s="10"/>
    </row>
    <row r="92" spans="3:34" x14ac:dyDescent="0.35">
      <c r="C92" s="5"/>
      <c r="D92" s="5"/>
      <c r="T92" s="6"/>
      <c r="U92" s="6"/>
      <c r="V92" s="6"/>
      <c r="W92" s="7" t="str">
        <f t="shared" si="2"/>
        <v/>
      </c>
      <c r="X92" s="8" t="str">
        <f t="shared" si="3"/>
        <v/>
      </c>
      <c r="AG92" s="9"/>
      <c r="AH92" s="10"/>
    </row>
    <row r="93" spans="3:34" x14ac:dyDescent="0.35">
      <c r="C93" s="5"/>
      <c r="D93" s="5"/>
      <c r="T93" s="6"/>
      <c r="U93" s="6"/>
      <c r="V93" s="6"/>
      <c r="W93" s="7" t="str">
        <f t="shared" si="2"/>
        <v/>
      </c>
      <c r="X93" s="8" t="str">
        <f t="shared" si="3"/>
        <v/>
      </c>
      <c r="AG93" s="9"/>
      <c r="AH93" s="10"/>
    </row>
    <row r="94" spans="3:34" x14ac:dyDescent="0.35">
      <c r="C94" s="5"/>
      <c r="D94" s="5"/>
      <c r="T94" s="6"/>
      <c r="U94" s="6"/>
      <c r="V94" s="6"/>
      <c r="W94" s="7" t="str">
        <f t="shared" si="2"/>
        <v/>
      </c>
      <c r="X94" s="8" t="str">
        <f t="shared" si="3"/>
        <v/>
      </c>
      <c r="AG94" s="9"/>
      <c r="AH94" s="10"/>
    </row>
    <row r="95" spans="3:34" x14ac:dyDescent="0.35">
      <c r="C95" s="5"/>
      <c r="D95" s="5"/>
      <c r="T95" s="6"/>
      <c r="U95" s="6"/>
      <c r="V95" s="6"/>
      <c r="W95" s="7" t="str">
        <f t="shared" si="2"/>
        <v/>
      </c>
      <c r="X95" s="8" t="str">
        <f t="shared" si="3"/>
        <v/>
      </c>
      <c r="AG95" s="9"/>
      <c r="AH95" s="10"/>
    </row>
    <row r="96" spans="3:34" x14ac:dyDescent="0.35">
      <c r="C96" s="5"/>
      <c r="D96" s="5"/>
      <c r="T96" s="6"/>
      <c r="U96" s="6"/>
      <c r="V96" s="6"/>
      <c r="W96" s="7" t="str">
        <f t="shared" si="2"/>
        <v/>
      </c>
      <c r="X96" s="8" t="str">
        <f t="shared" si="3"/>
        <v/>
      </c>
      <c r="AG96" s="9"/>
      <c r="AH96" s="10"/>
    </row>
    <row r="97" spans="3:34" x14ac:dyDescent="0.35">
      <c r="C97" s="5"/>
      <c r="D97" s="5"/>
      <c r="T97" s="6"/>
      <c r="U97" s="6"/>
      <c r="V97" s="6"/>
      <c r="W97" s="7" t="str">
        <f t="shared" si="2"/>
        <v/>
      </c>
      <c r="X97" s="8" t="str">
        <f t="shared" si="3"/>
        <v/>
      </c>
      <c r="AG97" s="9"/>
      <c r="AH97" s="10"/>
    </row>
    <row r="98" spans="3:34" x14ac:dyDescent="0.35">
      <c r="C98" s="5"/>
      <c r="D98" s="5"/>
      <c r="T98" s="6"/>
      <c r="U98" s="6"/>
      <c r="V98" s="6"/>
      <c r="W98" s="7" t="str">
        <f t="shared" si="2"/>
        <v/>
      </c>
      <c r="X98" s="8" t="str">
        <f t="shared" si="3"/>
        <v/>
      </c>
      <c r="AG98" s="9"/>
      <c r="AH98" s="10"/>
    </row>
    <row r="99" spans="3:34" x14ac:dyDescent="0.35">
      <c r="C99" s="5"/>
      <c r="D99" s="5"/>
      <c r="T99" s="6"/>
      <c r="U99" s="6"/>
      <c r="V99" s="6"/>
      <c r="W99" s="7" t="str">
        <f t="shared" si="2"/>
        <v/>
      </c>
      <c r="X99" s="8" t="str">
        <f t="shared" si="3"/>
        <v/>
      </c>
      <c r="AG99" s="9"/>
      <c r="AH99" s="10"/>
    </row>
    <row r="100" spans="3:34" x14ac:dyDescent="0.35">
      <c r="C100" s="5"/>
      <c r="D100" s="5"/>
      <c r="T100" s="6"/>
      <c r="U100" s="6"/>
      <c r="V100" s="6"/>
      <c r="W100" s="7" t="str">
        <f t="shared" si="2"/>
        <v/>
      </c>
      <c r="X100" s="8" t="str">
        <f t="shared" si="3"/>
        <v/>
      </c>
      <c r="AG100" s="9"/>
      <c r="AH100" s="10"/>
    </row>
    <row r="101" spans="3:34" x14ac:dyDescent="0.35">
      <c r="C101" s="5"/>
      <c r="D101" s="5"/>
      <c r="T101" s="6"/>
      <c r="U101" s="6"/>
      <c r="V101" s="6"/>
      <c r="W101" s="7" t="str">
        <f t="shared" si="2"/>
        <v/>
      </c>
      <c r="X101" s="8" t="str">
        <f t="shared" si="3"/>
        <v/>
      </c>
      <c r="AG101" s="9"/>
      <c r="AH101" s="10"/>
    </row>
    <row r="102" spans="3:34" x14ac:dyDescent="0.35">
      <c r="C102" s="5"/>
      <c r="D102" s="5"/>
      <c r="T102" s="6"/>
      <c r="U102" s="6"/>
      <c r="V102" s="6"/>
      <c r="W102" s="7" t="str">
        <f t="shared" si="2"/>
        <v/>
      </c>
      <c r="X102" s="8" t="str">
        <f t="shared" si="3"/>
        <v/>
      </c>
      <c r="AG102" s="9"/>
      <c r="AH102" s="10"/>
    </row>
    <row r="103" spans="3:34" x14ac:dyDescent="0.35">
      <c r="C103" s="5"/>
      <c r="D103" s="5"/>
      <c r="T103" s="6"/>
      <c r="U103" s="6"/>
      <c r="V103" s="6"/>
      <c r="W103" s="7" t="str">
        <f t="shared" si="2"/>
        <v/>
      </c>
      <c r="X103" s="8" t="str">
        <f t="shared" si="3"/>
        <v/>
      </c>
      <c r="AG103" s="9"/>
      <c r="AH103" s="10"/>
    </row>
    <row r="104" spans="3:34" x14ac:dyDescent="0.35">
      <c r="C104" s="5"/>
      <c r="D104" s="5"/>
      <c r="T104" s="6"/>
      <c r="U104" s="6"/>
      <c r="V104" s="6"/>
      <c r="W104" s="7" t="str">
        <f t="shared" si="2"/>
        <v/>
      </c>
      <c r="X104" s="8" t="str">
        <f t="shared" si="3"/>
        <v/>
      </c>
      <c r="AG104" s="9"/>
      <c r="AH104" s="10"/>
    </row>
    <row r="105" spans="3:34" x14ac:dyDescent="0.35">
      <c r="C105" s="5"/>
      <c r="D105" s="5"/>
      <c r="T105" s="6"/>
      <c r="U105" s="6"/>
      <c r="V105" s="6"/>
      <c r="W105" s="7" t="str">
        <f t="shared" si="2"/>
        <v/>
      </c>
      <c r="X105" s="8" t="str">
        <f t="shared" si="3"/>
        <v/>
      </c>
      <c r="AG105" s="9"/>
      <c r="AH105" s="10"/>
    </row>
    <row r="106" spans="3:34" x14ac:dyDescent="0.35">
      <c r="C106" s="5"/>
      <c r="D106" s="5"/>
      <c r="T106" s="6"/>
      <c r="U106" s="6"/>
      <c r="V106" s="6"/>
      <c r="W106" s="7" t="str">
        <f t="shared" si="2"/>
        <v/>
      </c>
      <c r="X106" s="8" t="str">
        <f t="shared" si="3"/>
        <v/>
      </c>
      <c r="AG106" s="9"/>
      <c r="AH106" s="10"/>
    </row>
    <row r="107" spans="3:34" x14ac:dyDescent="0.35">
      <c r="C107" s="5"/>
      <c r="D107" s="5"/>
      <c r="T107" s="6"/>
      <c r="U107" s="6"/>
      <c r="V107" s="6"/>
      <c r="W107" s="7" t="str">
        <f t="shared" si="2"/>
        <v/>
      </c>
      <c r="X107" s="8" t="str">
        <f t="shared" si="3"/>
        <v/>
      </c>
      <c r="AG107" s="9"/>
      <c r="AH107" s="10"/>
    </row>
    <row r="108" spans="3:34" x14ac:dyDescent="0.35">
      <c r="C108" s="5"/>
      <c r="D108" s="5"/>
      <c r="T108" s="6"/>
      <c r="U108" s="6"/>
      <c r="V108" s="6"/>
      <c r="W108" s="7" t="str">
        <f t="shared" si="2"/>
        <v/>
      </c>
      <c r="X108" s="8" t="str">
        <f t="shared" si="3"/>
        <v/>
      </c>
      <c r="AG108" s="9"/>
      <c r="AH108" s="10"/>
    </row>
    <row r="109" spans="3:34" x14ac:dyDescent="0.35">
      <c r="C109" s="5"/>
      <c r="D109" s="5"/>
      <c r="T109" s="6"/>
      <c r="U109" s="6"/>
      <c r="V109" s="6"/>
      <c r="W109" s="7" t="str">
        <f t="shared" si="2"/>
        <v/>
      </c>
      <c r="X109" s="8" t="str">
        <f t="shared" si="3"/>
        <v/>
      </c>
      <c r="AG109" s="9"/>
      <c r="AH109" s="10"/>
    </row>
    <row r="110" spans="3:34" x14ac:dyDescent="0.35">
      <c r="C110" s="5"/>
      <c r="D110" s="5"/>
      <c r="T110" s="6"/>
      <c r="U110" s="6"/>
      <c r="V110" s="6"/>
      <c r="W110" s="7" t="str">
        <f t="shared" si="2"/>
        <v/>
      </c>
      <c r="X110" s="8" t="str">
        <f t="shared" si="3"/>
        <v/>
      </c>
      <c r="AG110" s="9"/>
      <c r="AH110" s="10"/>
    </row>
    <row r="111" spans="3:34" x14ac:dyDescent="0.35">
      <c r="C111" s="5"/>
      <c r="D111" s="5"/>
      <c r="T111" s="6"/>
      <c r="U111" s="6"/>
      <c r="V111" s="6"/>
      <c r="W111" s="7" t="str">
        <f t="shared" si="2"/>
        <v/>
      </c>
      <c r="X111" s="8" t="str">
        <f t="shared" si="3"/>
        <v/>
      </c>
      <c r="AG111" s="9"/>
      <c r="AH111" s="10"/>
    </row>
    <row r="112" spans="3:34" x14ac:dyDescent="0.35">
      <c r="C112" s="5"/>
      <c r="D112" s="5"/>
      <c r="T112" s="6"/>
      <c r="U112" s="6"/>
      <c r="V112" s="6"/>
      <c r="W112" s="7" t="str">
        <f t="shared" si="2"/>
        <v/>
      </c>
      <c r="X112" s="8" t="str">
        <f t="shared" si="3"/>
        <v/>
      </c>
      <c r="AG112" s="9"/>
      <c r="AH112" s="10"/>
    </row>
    <row r="113" spans="3:34" x14ac:dyDescent="0.35">
      <c r="C113" s="5"/>
      <c r="D113" s="5"/>
      <c r="T113" s="6"/>
      <c r="U113" s="6"/>
      <c r="V113" s="6"/>
      <c r="W113" s="7" t="str">
        <f t="shared" si="2"/>
        <v/>
      </c>
      <c r="X113" s="8" t="str">
        <f t="shared" si="3"/>
        <v/>
      </c>
      <c r="AG113" s="9"/>
      <c r="AH113" s="10"/>
    </row>
    <row r="114" spans="3:34" x14ac:dyDescent="0.35">
      <c r="C114" s="5"/>
      <c r="D114" s="5"/>
      <c r="T114" s="6"/>
      <c r="U114" s="6"/>
      <c r="V114" s="6"/>
      <c r="W114" s="7" t="str">
        <f t="shared" si="2"/>
        <v/>
      </c>
      <c r="X114" s="8" t="str">
        <f t="shared" si="3"/>
        <v/>
      </c>
      <c r="AG114" s="9"/>
      <c r="AH114" s="10"/>
    </row>
    <row r="115" spans="3:34" x14ac:dyDescent="0.35">
      <c r="C115" s="5"/>
      <c r="D115" s="5"/>
      <c r="T115" s="6"/>
      <c r="U115" s="6"/>
      <c r="V115" s="6"/>
      <c r="W115" s="7" t="str">
        <f t="shared" si="2"/>
        <v/>
      </c>
      <c r="X115" s="8" t="str">
        <f t="shared" si="3"/>
        <v/>
      </c>
      <c r="AG115" s="9"/>
      <c r="AH115" s="10"/>
    </row>
    <row r="116" spans="3:34" x14ac:dyDescent="0.35">
      <c r="C116" s="5"/>
      <c r="D116" s="5"/>
      <c r="T116" s="6"/>
      <c r="U116" s="6"/>
      <c r="V116" s="6"/>
      <c r="W116" s="7" t="str">
        <f t="shared" si="2"/>
        <v/>
      </c>
      <c r="X116" s="8" t="str">
        <f t="shared" si="3"/>
        <v/>
      </c>
      <c r="AG116" s="9"/>
      <c r="AH116" s="10"/>
    </row>
    <row r="117" spans="3:34" x14ac:dyDescent="0.35">
      <c r="C117" s="5"/>
      <c r="D117" s="5"/>
      <c r="T117" s="6"/>
      <c r="U117" s="6"/>
      <c r="V117" s="6"/>
      <c r="W117" s="7" t="str">
        <f t="shared" si="2"/>
        <v/>
      </c>
      <c r="X117" s="8" t="str">
        <f t="shared" si="3"/>
        <v/>
      </c>
      <c r="AG117" s="9"/>
      <c r="AH117" s="10"/>
    </row>
    <row r="118" spans="3:34" x14ac:dyDescent="0.35">
      <c r="C118" s="5"/>
      <c r="D118" s="5"/>
      <c r="T118" s="6"/>
      <c r="U118" s="6"/>
      <c r="V118" s="6"/>
      <c r="W118" s="7" t="str">
        <f t="shared" si="2"/>
        <v/>
      </c>
      <c r="X118" s="8" t="str">
        <f t="shared" si="3"/>
        <v/>
      </c>
      <c r="AG118" s="9"/>
      <c r="AH118" s="10"/>
    </row>
    <row r="119" spans="3:34" x14ac:dyDescent="0.35">
      <c r="C119" s="5"/>
      <c r="D119" s="5"/>
      <c r="T119" s="6"/>
      <c r="U119" s="6"/>
      <c r="V119" s="6"/>
      <c r="W119" s="7" t="str">
        <f t="shared" si="2"/>
        <v/>
      </c>
      <c r="X119" s="8" t="str">
        <f t="shared" si="3"/>
        <v/>
      </c>
      <c r="AG119" s="9"/>
      <c r="AH119" s="10"/>
    </row>
    <row r="120" spans="3:34" x14ac:dyDescent="0.35">
      <c r="C120" s="5"/>
      <c r="D120" s="5"/>
      <c r="T120" s="6"/>
      <c r="U120" s="6"/>
      <c r="V120" s="6"/>
      <c r="W120" s="7" t="str">
        <f t="shared" si="2"/>
        <v/>
      </c>
      <c r="X120" s="8" t="str">
        <f t="shared" si="3"/>
        <v/>
      </c>
      <c r="AG120" s="9"/>
      <c r="AH120" s="10"/>
    </row>
    <row r="121" spans="3:34" x14ac:dyDescent="0.35">
      <c r="C121" s="5"/>
      <c r="D121" s="5"/>
      <c r="T121" s="6"/>
      <c r="U121" s="6"/>
      <c r="V121" s="6"/>
      <c r="W121" s="7" t="str">
        <f t="shared" si="2"/>
        <v/>
      </c>
      <c r="X121" s="8" t="str">
        <f t="shared" si="3"/>
        <v/>
      </c>
      <c r="AG121" s="9"/>
      <c r="AH121" s="10"/>
    </row>
    <row r="122" spans="3:34" x14ac:dyDescent="0.35">
      <c r="C122" s="5"/>
      <c r="D122" s="5"/>
      <c r="T122" s="6"/>
      <c r="U122" s="6"/>
      <c r="V122" s="6"/>
      <c r="W122" s="7" t="str">
        <f t="shared" si="2"/>
        <v/>
      </c>
      <c r="X122" s="8" t="str">
        <f t="shared" si="3"/>
        <v/>
      </c>
      <c r="AG122" s="9"/>
      <c r="AH122" s="10"/>
    </row>
    <row r="123" spans="3:34" x14ac:dyDescent="0.35">
      <c r="C123" s="5"/>
      <c r="D123" s="5"/>
      <c r="T123" s="6"/>
      <c r="U123" s="6"/>
      <c r="V123" s="6"/>
      <c r="W123" s="7" t="str">
        <f t="shared" si="2"/>
        <v/>
      </c>
      <c r="X123" s="8" t="str">
        <f t="shared" si="3"/>
        <v/>
      </c>
      <c r="AG123" s="9"/>
      <c r="AH123" s="10"/>
    </row>
    <row r="124" spans="3:34" x14ac:dyDescent="0.35">
      <c r="C124" s="5"/>
      <c r="D124" s="5"/>
      <c r="T124" s="6"/>
      <c r="U124" s="6"/>
      <c r="V124" s="6"/>
      <c r="W124" s="7" t="str">
        <f t="shared" si="2"/>
        <v/>
      </c>
      <c r="X124" s="8" t="str">
        <f t="shared" si="3"/>
        <v/>
      </c>
      <c r="AG124" s="9"/>
      <c r="AH124" s="10"/>
    </row>
    <row r="125" spans="3:34" x14ac:dyDescent="0.35">
      <c r="C125" s="5"/>
      <c r="D125" s="5"/>
      <c r="T125" s="6"/>
      <c r="U125" s="6"/>
      <c r="V125" s="6"/>
      <c r="W125" s="7" t="str">
        <f t="shared" si="2"/>
        <v/>
      </c>
      <c r="X125" s="8" t="str">
        <f t="shared" si="3"/>
        <v/>
      </c>
      <c r="AG125" s="9"/>
      <c r="AH125" s="10"/>
    </row>
    <row r="126" spans="3:34" x14ac:dyDescent="0.35">
      <c r="C126" s="5"/>
      <c r="D126" s="5"/>
      <c r="T126" s="6"/>
      <c r="U126" s="6"/>
      <c r="V126" s="6"/>
      <c r="W126" s="7" t="str">
        <f t="shared" si="2"/>
        <v/>
      </c>
      <c r="X126" s="8" t="str">
        <f t="shared" si="3"/>
        <v/>
      </c>
      <c r="AG126" s="9"/>
      <c r="AH126" s="10"/>
    </row>
    <row r="127" spans="3:34" x14ac:dyDescent="0.35">
      <c r="C127" s="5"/>
      <c r="D127" s="5"/>
      <c r="T127" s="6"/>
      <c r="U127" s="6"/>
      <c r="V127" s="6"/>
      <c r="W127" s="7" t="str">
        <f t="shared" si="2"/>
        <v/>
      </c>
      <c r="X127" s="8" t="str">
        <f t="shared" si="3"/>
        <v/>
      </c>
      <c r="AG127" s="9"/>
      <c r="AH127" s="10"/>
    </row>
    <row r="128" spans="3:34" x14ac:dyDescent="0.35">
      <c r="C128" s="5"/>
      <c r="D128" s="5"/>
      <c r="T128" s="6"/>
      <c r="U128" s="6"/>
      <c r="V128" s="6"/>
      <c r="W128" s="7" t="str">
        <f t="shared" si="2"/>
        <v/>
      </c>
      <c r="X128" s="8" t="str">
        <f t="shared" si="3"/>
        <v/>
      </c>
      <c r="AG128" s="9"/>
      <c r="AH128" s="10"/>
    </row>
    <row r="129" spans="3:34" x14ac:dyDescent="0.35">
      <c r="C129" s="5"/>
      <c r="D129" s="5"/>
      <c r="T129" s="6"/>
      <c r="U129" s="6"/>
      <c r="V129" s="6"/>
      <c r="W129" s="7" t="str">
        <f t="shared" si="2"/>
        <v/>
      </c>
      <c r="X129" s="8" t="str">
        <f t="shared" si="3"/>
        <v/>
      </c>
      <c r="AG129" s="9"/>
      <c r="AH129" s="10"/>
    </row>
    <row r="130" spans="3:34" x14ac:dyDescent="0.35">
      <c r="C130" s="5"/>
      <c r="D130" s="5"/>
      <c r="T130" s="6"/>
      <c r="U130" s="6"/>
      <c r="V130" s="6"/>
      <c r="W130" s="7" t="str">
        <f t="shared" ref="W130:W193" si="4">IF($U130&gt;0,$U130-$V130,"")</f>
        <v/>
      </c>
      <c r="X130" s="8" t="str">
        <f t="shared" ref="X130:X193" si="5">IF($U130&gt;0,($U130-$V130)/$U130,"")</f>
        <v/>
      </c>
      <c r="AG130" s="9"/>
      <c r="AH130" s="10"/>
    </row>
    <row r="131" spans="3:34" x14ac:dyDescent="0.35">
      <c r="C131" s="5"/>
      <c r="D131" s="5"/>
      <c r="T131" s="6"/>
      <c r="U131" s="6"/>
      <c r="V131" s="6"/>
      <c r="W131" s="7" t="str">
        <f t="shared" si="4"/>
        <v/>
      </c>
      <c r="X131" s="8" t="str">
        <f t="shared" si="5"/>
        <v/>
      </c>
      <c r="AG131" s="9"/>
      <c r="AH131" s="10"/>
    </row>
    <row r="132" spans="3:34" x14ac:dyDescent="0.35">
      <c r="C132" s="5"/>
      <c r="D132" s="5"/>
      <c r="T132" s="6"/>
      <c r="U132" s="6"/>
      <c r="V132" s="6"/>
      <c r="W132" s="7" t="str">
        <f t="shared" si="4"/>
        <v/>
      </c>
      <c r="X132" s="8" t="str">
        <f t="shared" si="5"/>
        <v/>
      </c>
      <c r="AG132" s="9"/>
      <c r="AH132" s="10"/>
    </row>
    <row r="133" spans="3:34" x14ac:dyDescent="0.35">
      <c r="C133" s="5"/>
      <c r="D133" s="5"/>
      <c r="T133" s="6"/>
      <c r="U133" s="6"/>
      <c r="V133" s="6"/>
      <c r="W133" s="7" t="str">
        <f t="shared" si="4"/>
        <v/>
      </c>
      <c r="X133" s="8" t="str">
        <f t="shared" si="5"/>
        <v/>
      </c>
      <c r="AG133" s="9"/>
      <c r="AH133" s="10"/>
    </row>
    <row r="134" spans="3:34" x14ac:dyDescent="0.35">
      <c r="C134" s="5"/>
      <c r="D134" s="5"/>
      <c r="T134" s="6"/>
      <c r="U134" s="6"/>
      <c r="V134" s="6"/>
      <c r="W134" s="7" t="str">
        <f t="shared" si="4"/>
        <v/>
      </c>
      <c r="X134" s="8" t="str">
        <f t="shared" si="5"/>
        <v/>
      </c>
      <c r="AG134" s="9"/>
      <c r="AH134" s="10"/>
    </row>
    <row r="135" spans="3:34" x14ac:dyDescent="0.35">
      <c r="C135" s="5"/>
      <c r="D135" s="5"/>
      <c r="T135" s="6"/>
      <c r="U135" s="6"/>
      <c r="V135" s="6"/>
      <c r="W135" s="7" t="str">
        <f t="shared" si="4"/>
        <v/>
      </c>
      <c r="X135" s="8" t="str">
        <f t="shared" si="5"/>
        <v/>
      </c>
      <c r="AG135" s="9"/>
      <c r="AH135" s="10"/>
    </row>
    <row r="136" spans="3:34" x14ac:dyDescent="0.35">
      <c r="C136" s="5"/>
      <c r="D136" s="5"/>
      <c r="T136" s="6"/>
      <c r="U136" s="6"/>
      <c r="V136" s="6"/>
      <c r="W136" s="7" t="str">
        <f t="shared" si="4"/>
        <v/>
      </c>
      <c r="X136" s="8" t="str">
        <f t="shared" si="5"/>
        <v/>
      </c>
      <c r="AG136" s="9"/>
      <c r="AH136" s="10"/>
    </row>
    <row r="137" spans="3:34" x14ac:dyDescent="0.35">
      <c r="C137" s="5"/>
      <c r="D137" s="5"/>
      <c r="T137" s="6"/>
      <c r="U137" s="6"/>
      <c r="V137" s="6"/>
      <c r="W137" s="7" t="str">
        <f t="shared" si="4"/>
        <v/>
      </c>
      <c r="X137" s="8" t="str">
        <f t="shared" si="5"/>
        <v/>
      </c>
      <c r="AG137" s="9"/>
      <c r="AH137" s="10"/>
    </row>
    <row r="138" spans="3:34" x14ac:dyDescent="0.35">
      <c r="C138" s="5"/>
      <c r="D138" s="5"/>
      <c r="T138" s="6"/>
      <c r="U138" s="6"/>
      <c r="V138" s="6"/>
      <c r="W138" s="7" t="str">
        <f t="shared" si="4"/>
        <v/>
      </c>
      <c r="X138" s="8" t="str">
        <f t="shared" si="5"/>
        <v/>
      </c>
      <c r="AG138" s="9"/>
      <c r="AH138" s="10"/>
    </row>
    <row r="139" spans="3:34" x14ac:dyDescent="0.35">
      <c r="C139" s="5"/>
      <c r="D139" s="5"/>
      <c r="T139" s="6"/>
      <c r="U139" s="6"/>
      <c r="V139" s="6"/>
      <c r="W139" s="7" t="str">
        <f t="shared" si="4"/>
        <v/>
      </c>
      <c r="X139" s="8" t="str">
        <f t="shared" si="5"/>
        <v/>
      </c>
      <c r="AG139" s="9"/>
      <c r="AH139" s="10"/>
    </row>
    <row r="140" spans="3:34" x14ac:dyDescent="0.35">
      <c r="C140" s="5"/>
      <c r="D140" s="5"/>
      <c r="T140" s="6"/>
      <c r="U140" s="6"/>
      <c r="V140" s="6"/>
      <c r="W140" s="7" t="str">
        <f t="shared" si="4"/>
        <v/>
      </c>
      <c r="X140" s="8" t="str">
        <f t="shared" si="5"/>
        <v/>
      </c>
      <c r="AG140" s="9"/>
      <c r="AH140" s="10"/>
    </row>
    <row r="141" spans="3:34" x14ac:dyDescent="0.35">
      <c r="C141" s="5"/>
      <c r="D141" s="5"/>
      <c r="T141" s="6"/>
      <c r="U141" s="6"/>
      <c r="V141" s="6"/>
      <c r="W141" s="7" t="str">
        <f t="shared" si="4"/>
        <v/>
      </c>
      <c r="X141" s="8" t="str">
        <f t="shared" si="5"/>
        <v/>
      </c>
      <c r="AG141" s="9"/>
      <c r="AH141" s="10"/>
    </row>
    <row r="142" spans="3:34" x14ac:dyDescent="0.35">
      <c r="C142" s="5"/>
      <c r="D142" s="5"/>
      <c r="T142" s="6"/>
      <c r="U142" s="6"/>
      <c r="V142" s="6"/>
      <c r="W142" s="7" t="str">
        <f t="shared" si="4"/>
        <v/>
      </c>
      <c r="X142" s="8" t="str">
        <f t="shared" si="5"/>
        <v/>
      </c>
      <c r="AG142" s="9"/>
      <c r="AH142" s="10"/>
    </row>
    <row r="143" spans="3:34" x14ac:dyDescent="0.35">
      <c r="C143" s="5"/>
      <c r="D143" s="5"/>
      <c r="T143" s="6"/>
      <c r="U143" s="6"/>
      <c r="V143" s="6"/>
      <c r="W143" s="7" t="str">
        <f t="shared" si="4"/>
        <v/>
      </c>
      <c r="X143" s="8" t="str">
        <f t="shared" si="5"/>
        <v/>
      </c>
      <c r="AG143" s="9"/>
      <c r="AH143" s="10"/>
    </row>
    <row r="144" spans="3:34" x14ac:dyDescent="0.35">
      <c r="C144" s="5"/>
      <c r="D144" s="5"/>
      <c r="T144" s="6"/>
      <c r="U144" s="6"/>
      <c r="V144" s="6"/>
      <c r="W144" s="7" t="str">
        <f t="shared" si="4"/>
        <v/>
      </c>
      <c r="X144" s="8" t="str">
        <f t="shared" si="5"/>
        <v/>
      </c>
      <c r="AG144" s="9"/>
      <c r="AH144" s="10"/>
    </row>
    <row r="145" spans="3:34" x14ac:dyDescent="0.35">
      <c r="C145" s="5"/>
      <c r="D145" s="5"/>
      <c r="T145" s="6"/>
      <c r="U145" s="6"/>
      <c r="V145" s="6"/>
      <c r="W145" s="7" t="str">
        <f t="shared" si="4"/>
        <v/>
      </c>
      <c r="X145" s="8" t="str">
        <f t="shared" si="5"/>
        <v/>
      </c>
      <c r="AG145" s="9"/>
      <c r="AH145" s="10"/>
    </row>
    <row r="146" spans="3:34" x14ac:dyDescent="0.35">
      <c r="C146" s="5"/>
      <c r="D146" s="5"/>
      <c r="T146" s="6"/>
      <c r="U146" s="6"/>
      <c r="V146" s="6"/>
      <c r="W146" s="7" t="str">
        <f t="shared" si="4"/>
        <v/>
      </c>
      <c r="X146" s="8" t="str">
        <f t="shared" si="5"/>
        <v/>
      </c>
      <c r="AG146" s="9"/>
      <c r="AH146" s="10"/>
    </row>
    <row r="147" spans="3:34" x14ac:dyDescent="0.35">
      <c r="C147" s="5"/>
      <c r="D147" s="5"/>
      <c r="T147" s="6"/>
      <c r="U147" s="6"/>
      <c r="V147" s="6"/>
      <c r="W147" s="7" t="str">
        <f t="shared" si="4"/>
        <v/>
      </c>
      <c r="X147" s="8" t="str">
        <f t="shared" si="5"/>
        <v/>
      </c>
      <c r="AG147" s="9"/>
      <c r="AH147" s="10"/>
    </row>
    <row r="148" spans="3:34" x14ac:dyDescent="0.35">
      <c r="C148" s="5"/>
      <c r="D148" s="5"/>
      <c r="T148" s="6"/>
      <c r="U148" s="6"/>
      <c r="V148" s="6"/>
      <c r="W148" s="7" t="str">
        <f t="shared" si="4"/>
        <v/>
      </c>
      <c r="X148" s="8" t="str">
        <f t="shared" si="5"/>
        <v/>
      </c>
      <c r="AG148" s="9"/>
      <c r="AH148" s="10"/>
    </row>
    <row r="149" spans="3:34" x14ac:dyDescent="0.35">
      <c r="C149" s="5"/>
      <c r="D149" s="5"/>
      <c r="T149" s="6"/>
      <c r="U149" s="6"/>
      <c r="V149" s="6"/>
      <c r="W149" s="7" t="str">
        <f t="shared" si="4"/>
        <v/>
      </c>
      <c r="X149" s="8" t="str">
        <f t="shared" si="5"/>
        <v/>
      </c>
      <c r="AG149" s="9"/>
      <c r="AH149" s="10"/>
    </row>
    <row r="150" spans="3:34" x14ac:dyDescent="0.35">
      <c r="C150" s="5"/>
      <c r="D150" s="5"/>
      <c r="T150" s="6"/>
      <c r="U150" s="6"/>
      <c r="V150" s="6"/>
      <c r="W150" s="7" t="str">
        <f t="shared" si="4"/>
        <v/>
      </c>
      <c r="X150" s="8" t="str">
        <f t="shared" si="5"/>
        <v/>
      </c>
      <c r="AG150" s="9"/>
      <c r="AH150" s="10"/>
    </row>
    <row r="151" spans="3:34" x14ac:dyDescent="0.35">
      <c r="C151" s="5"/>
      <c r="D151" s="5"/>
      <c r="T151" s="6"/>
      <c r="U151" s="6"/>
      <c r="V151" s="6"/>
      <c r="W151" s="7" t="str">
        <f t="shared" si="4"/>
        <v/>
      </c>
      <c r="X151" s="8" t="str">
        <f t="shared" si="5"/>
        <v/>
      </c>
      <c r="AG151" s="9"/>
      <c r="AH151" s="10"/>
    </row>
    <row r="152" spans="3:34" x14ac:dyDescent="0.35">
      <c r="C152" s="5"/>
      <c r="D152" s="5"/>
      <c r="T152" s="6"/>
      <c r="U152" s="6"/>
      <c r="V152" s="6"/>
      <c r="W152" s="7" t="str">
        <f t="shared" si="4"/>
        <v/>
      </c>
      <c r="X152" s="8" t="str">
        <f t="shared" si="5"/>
        <v/>
      </c>
      <c r="AG152" s="9"/>
      <c r="AH152" s="10"/>
    </row>
    <row r="153" spans="3:34" x14ac:dyDescent="0.35">
      <c r="C153" s="5"/>
      <c r="D153" s="5"/>
      <c r="T153" s="6"/>
      <c r="U153" s="6"/>
      <c r="V153" s="6"/>
      <c r="W153" s="7" t="str">
        <f t="shared" si="4"/>
        <v/>
      </c>
      <c r="X153" s="8" t="str">
        <f t="shared" si="5"/>
        <v/>
      </c>
      <c r="AG153" s="9"/>
      <c r="AH153" s="10"/>
    </row>
    <row r="154" spans="3:34" x14ac:dyDescent="0.35">
      <c r="C154" s="5"/>
      <c r="D154" s="5"/>
      <c r="T154" s="6"/>
      <c r="U154" s="6"/>
      <c r="V154" s="6"/>
      <c r="W154" s="7" t="str">
        <f t="shared" si="4"/>
        <v/>
      </c>
      <c r="X154" s="8" t="str">
        <f t="shared" si="5"/>
        <v/>
      </c>
      <c r="AG154" s="9"/>
      <c r="AH154" s="10"/>
    </row>
    <row r="155" spans="3:34" x14ac:dyDescent="0.35">
      <c r="C155" s="5"/>
      <c r="D155" s="5"/>
      <c r="T155" s="6"/>
      <c r="U155" s="6"/>
      <c r="V155" s="6"/>
      <c r="W155" s="7" t="str">
        <f t="shared" si="4"/>
        <v/>
      </c>
      <c r="X155" s="8" t="str">
        <f t="shared" si="5"/>
        <v/>
      </c>
      <c r="AG155" s="9"/>
      <c r="AH155" s="10"/>
    </row>
    <row r="156" spans="3:34" x14ac:dyDescent="0.35">
      <c r="C156" s="5"/>
      <c r="D156" s="5"/>
      <c r="T156" s="6"/>
      <c r="U156" s="6"/>
      <c r="V156" s="6"/>
      <c r="W156" s="7" t="str">
        <f t="shared" si="4"/>
        <v/>
      </c>
      <c r="X156" s="8" t="str">
        <f t="shared" si="5"/>
        <v/>
      </c>
      <c r="AG156" s="9"/>
      <c r="AH156" s="10"/>
    </row>
    <row r="157" spans="3:34" x14ac:dyDescent="0.35">
      <c r="C157" s="5"/>
      <c r="D157" s="5"/>
      <c r="T157" s="6"/>
      <c r="U157" s="6"/>
      <c r="V157" s="6"/>
      <c r="W157" s="7" t="str">
        <f t="shared" si="4"/>
        <v/>
      </c>
      <c r="X157" s="8" t="str">
        <f t="shared" si="5"/>
        <v/>
      </c>
      <c r="AG157" s="9"/>
      <c r="AH157" s="10"/>
    </row>
    <row r="158" spans="3:34" x14ac:dyDescent="0.35">
      <c r="C158" s="5"/>
      <c r="D158" s="5"/>
      <c r="T158" s="6"/>
      <c r="U158" s="6"/>
      <c r="V158" s="6"/>
      <c r="W158" s="7" t="str">
        <f t="shared" si="4"/>
        <v/>
      </c>
      <c r="X158" s="8" t="str">
        <f t="shared" si="5"/>
        <v/>
      </c>
      <c r="AG158" s="9"/>
      <c r="AH158" s="10"/>
    </row>
    <row r="159" spans="3:34" x14ac:dyDescent="0.35">
      <c r="C159" s="5"/>
      <c r="D159" s="5"/>
      <c r="T159" s="6"/>
      <c r="U159" s="6"/>
      <c r="V159" s="6"/>
      <c r="W159" s="7" t="str">
        <f t="shared" si="4"/>
        <v/>
      </c>
      <c r="X159" s="8" t="str">
        <f t="shared" si="5"/>
        <v/>
      </c>
      <c r="AG159" s="9"/>
      <c r="AH159" s="10"/>
    </row>
    <row r="160" spans="3:34" x14ac:dyDescent="0.35">
      <c r="C160" s="5"/>
      <c r="D160" s="5"/>
      <c r="T160" s="6"/>
      <c r="U160" s="6"/>
      <c r="V160" s="6"/>
      <c r="W160" s="7" t="str">
        <f t="shared" si="4"/>
        <v/>
      </c>
      <c r="X160" s="8" t="str">
        <f t="shared" si="5"/>
        <v/>
      </c>
      <c r="AG160" s="9"/>
      <c r="AH160" s="10"/>
    </row>
    <row r="161" spans="3:34" x14ac:dyDescent="0.35">
      <c r="C161" s="5"/>
      <c r="D161" s="5"/>
      <c r="T161" s="6"/>
      <c r="U161" s="6"/>
      <c r="V161" s="6"/>
      <c r="W161" s="7" t="str">
        <f t="shared" si="4"/>
        <v/>
      </c>
      <c r="X161" s="8" t="str">
        <f t="shared" si="5"/>
        <v/>
      </c>
      <c r="AG161" s="9"/>
      <c r="AH161" s="10"/>
    </row>
    <row r="162" spans="3:34" x14ac:dyDescent="0.35">
      <c r="C162" s="5"/>
      <c r="D162" s="5"/>
      <c r="T162" s="6"/>
      <c r="U162" s="6"/>
      <c r="V162" s="6"/>
      <c r="W162" s="7" t="str">
        <f t="shared" si="4"/>
        <v/>
      </c>
      <c r="X162" s="8" t="str">
        <f t="shared" si="5"/>
        <v/>
      </c>
      <c r="AG162" s="9"/>
      <c r="AH162" s="10"/>
    </row>
    <row r="163" spans="3:34" x14ac:dyDescent="0.35">
      <c r="C163" s="5"/>
      <c r="D163" s="5"/>
      <c r="T163" s="6"/>
      <c r="U163" s="6"/>
      <c r="V163" s="6"/>
      <c r="W163" s="7" t="str">
        <f t="shared" si="4"/>
        <v/>
      </c>
      <c r="X163" s="8" t="str">
        <f t="shared" si="5"/>
        <v/>
      </c>
      <c r="AG163" s="9"/>
      <c r="AH163" s="10"/>
    </row>
    <row r="164" spans="3:34" x14ac:dyDescent="0.35">
      <c r="C164" s="5"/>
      <c r="D164" s="5"/>
      <c r="T164" s="6"/>
      <c r="U164" s="6"/>
      <c r="V164" s="6"/>
      <c r="W164" s="7" t="str">
        <f t="shared" si="4"/>
        <v/>
      </c>
      <c r="X164" s="8" t="str">
        <f t="shared" si="5"/>
        <v/>
      </c>
      <c r="AG164" s="9"/>
      <c r="AH164" s="10"/>
    </row>
    <row r="165" spans="3:34" x14ac:dyDescent="0.35">
      <c r="C165" s="5"/>
      <c r="D165" s="5"/>
      <c r="T165" s="6"/>
      <c r="U165" s="6"/>
      <c r="V165" s="6"/>
      <c r="W165" s="7" t="str">
        <f t="shared" si="4"/>
        <v/>
      </c>
      <c r="X165" s="8" t="str">
        <f t="shared" si="5"/>
        <v/>
      </c>
      <c r="AG165" s="9"/>
      <c r="AH165" s="10"/>
    </row>
    <row r="166" spans="3:34" x14ac:dyDescent="0.35">
      <c r="C166" s="5"/>
      <c r="D166" s="5"/>
      <c r="T166" s="6"/>
      <c r="U166" s="6"/>
      <c r="V166" s="6"/>
      <c r="W166" s="7" t="str">
        <f t="shared" si="4"/>
        <v/>
      </c>
      <c r="X166" s="8" t="str">
        <f t="shared" si="5"/>
        <v/>
      </c>
      <c r="AG166" s="9"/>
      <c r="AH166" s="10"/>
    </row>
    <row r="167" spans="3:34" x14ac:dyDescent="0.35">
      <c r="C167" s="5"/>
      <c r="D167" s="5"/>
      <c r="T167" s="6"/>
      <c r="U167" s="6"/>
      <c r="V167" s="6"/>
      <c r="W167" s="7" t="str">
        <f t="shared" si="4"/>
        <v/>
      </c>
      <c r="X167" s="8" t="str">
        <f t="shared" si="5"/>
        <v/>
      </c>
      <c r="AG167" s="9"/>
      <c r="AH167" s="10"/>
    </row>
    <row r="168" spans="3:34" x14ac:dyDescent="0.35">
      <c r="C168" s="5"/>
      <c r="D168" s="5"/>
      <c r="T168" s="6"/>
      <c r="U168" s="6"/>
      <c r="V168" s="6"/>
      <c r="W168" s="7" t="str">
        <f t="shared" si="4"/>
        <v/>
      </c>
      <c r="X168" s="8" t="str">
        <f t="shared" si="5"/>
        <v/>
      </c>
      <c r="AG168" s="9"/>
      <c r="AH168" s="10"/>
    </row>
    <row r="169" spans="3:34" x14ac:dyDescent="0.35">
      <c r="C169" s="5"/>
      <c r="D169" s="5"/>
      <c r="T169" s="6"/>
      <c r="U169" s="6"/>
      <c r="V169" s="6"/>
      <c r="W169" s="7" t="str">
        <f t="shared" si="4"/>
        <v/>
      </c>
      <c r="X169" s="8" t="str">
        <f t="shared" si="5"/>
        <v/>
      </c>
      <c r="AG169" s="9"/>
      <c r="AH169" s="10"/>
    </row>
    <row r="170" spans="3:34" x14ac:dyDescent="0.35">
      <c r="C170" s="5"/>
      <c r="D170" s="5"/>
      <c r="T170" s="6"/>
      <c r="U170" s="6"/>
      <c r="V170" s="6"/>
      <c r="W170" s="7" t="str">
        <f t="shared" si="4"/>
        <v/>
      </c>
      <c r="X170" s="8" t="str">
        <f t="shared" si="5"/>
        <v/>
      </c>
      <c r="AG170" s="9"/>
      <c r="AH170" s="10"/>
    </row>
    <row r="171" spans="3:34" x14ac:dyDescent="0.35">
      <c r="C171" s="5"/>
      <c r="D171" s="5"/>
      <c r="T171" s="6"/>
      <c r="U171" s="6"/>
      <c r="V171" s="6"/>
      <c r="W171" s="7" t="str">
        <f t="shared" si="4"/>
        <v/>
      </c>
      <c r="X171" s="8" t="str">
        <f t="shared" si="5"/>
        <v/>
      </c>
      <c r="AG171" s="9"/>
      <c r="AH171" s="10"/>
    </row>
    <row r="172" spans="3:34" x14ac:dyDescent="0.35">
      <c r="C172" s="5"/>
      <c r="D172" s="5"/>
      <c r="T172" s="6"/>
      <c r="U172" s="6"/>
      <c r="V172" s="6"/>
      <c r="W172" s="7" t="str">
        <f t="shared" si="4"/>
        <v/>
      </c>
      <c r="X172" s="8" t="str">
        <f t="shared" si="5"/>
        <v/>
      </c>
      <c r="AG172" s="9"/>
      <c r="AH172" s="10"/>
    </row>
    <row r="173" spans="3:34" x14ac:dyDescent="0.35">
      <c r="C173" s="5"/>
      <c r="D173" s="5"/>
      <c r="T173" s="6"/>
      <c r="U173" s="6"/>
      <c r="V173" s="6"/>
      <c r="W173" s="7" t="str">
        <f t="shared" si="4"/>
        <v/>
      </c>
      <c r="X173" s="8" t="str">
        <f t="shared" si="5"/>
        <v/>
      </c>
      <c r="AG173" s="9"/>
      <c r="AH173" s="10"/>
    </row>
    <row r="174" spans="3:34" x14ac:dyDescent="0.35">
      <c r="C174" s="5"/>
      <c r="D174" s="5"/>
      <c r="T174" s="6"/>
      <c r="U174" s="6"/>
      <c r="V174" s="6"/>
      <c r="W174" s="7" t="str">
        <f t="shared" si="4"/>
        <v/>
      </c>
      <c r="X174" s="8" t="str">
        <f t="shared" si="5"/>
        <v/>
      </c>
      <c r="AG174" s="9"/>
      <c r="AH174" s="10"/>
    </row>
    <row r="175" spans="3:34" x14ac:dyDescent="0.35">
      <c r="C175" s="5"/>
      <c r="D175" s="5"/>
      <c r="T175" s="6"/>
      <c r="U175" s="6"/>
      <c r="V175" s="6"/>
      <c r="W175" s="7" t="str">
        <f t="shared" si="4"/>
        <v/>
      </c>
      <c r="X175" s="8" t="str">
        <f t="shared" si="5"/>
        <v/>
      </c>
      <c r="AG175" s="9"/>
      <c r="AH175" s="10"/>
    </row>
    <row r="176" spans="3:34" x14ac:dyDescent="0.35">
      <c r="C176" s="5"/>
      <c r="D176" s="5"/>
      <c r="T176" s="6"/>
      <c r="U176" s="6"/>
      <c r="V176" s="6"/>
      <c r="W176" s="7" t="str">
        <f t="shared" si="4"/>
        <v/>
      </c>
      <c r="X176" s="8" t="str">
        <f t="shared" si="5"/>
        <v/>
      </c>
      <c r="AG176" s="9"/>
      <c r="AH176" s="10"/>
    </row>
    <row r="177" spans="3:34" x14ac:dyDescent="0.35">
      <c r="C177" s="5"/>
      <c r="D177" s="5"/>
      <c r="T177" s="6"/>
      <c r="U177" s="6"/>
      <c r="V177" s="6"/>
      <c r="W177" s="7" t="str">
        <f t="shared" si="4"/>
        <v/>
      </c>
      <c r="X177" s="8" t="str">
        <f t="shared" si="5"/>
        <v/>
      </c>
      <c r="AG177" s="9"/>
      <c r="AH177" s="10"/>
    </row>
    <row r="178" spans="3:34" x14ac:dyDescent="0.35">
      <c r="C178" s="5"/>
      <c r="D178" s="5"/>
      <c r="T178" s="6"/>
      <c r="U178" s="6"/>
      <c r="V178" s="6"/>
      <c r="W178" s="7" t="str">
        <f t="shared" si="4"/>
        <v/>
      </c>
      <c r="X178" s="8" t="str">
        <f t="shared" si="5"/>
        <v/>
      </c>
      <c r="AG178" s="9"/>
      <c r="AH178" s="10"/>
    </row>
    <row r="179" spans="3:34" x14ac:dyDescent="0.35">
      <c r="C179" s="5"/>
      <c r="D179" s="5"/>
      <c r="T179" s="6"/>
      <c r="U179" s="6"/>
      <c r="V179" s="6"/>
      <c r="W179" s="7" t="str">
        <f t="shared" si="4"/>
        <v/>
      </c>
      <c r="X179" s="8" t="str">
        <f t="shared" si="5"/>
        <v/>
      </c>
      <c r="AG179" s="9"/>
      <c r="AH179" s="10"/>
    </row>
    <row r="180" spans="3:34" x14ac:dyDescent="0.35">
      <c r="C180" s="5"/>
      <c r="D180" s="5"/>
      <c r="T180" s="6"/>
      <c r="U180" s="6"/>
      <c r="V180" s="6"/>
      <c r="W180" s="7" t="str">
        <f t="shared" si="4"/>
        <v/>
      </c>
      <c r="X180" s="8" t="str">
        <f t="shared" si="5"/>
        <v/>
      </c>
      <c r="AG180" s="9"/>
      <c r="AH180" s="10"/>
    </row>
    <row r="181" spans="3:34" x14ac:dyDescent="0.35">
      <c r="C181" s="5"/>
      <c r="D181" s="5"/>
      <c r="T181" s="6"/>
      <c r="U181" s="6"/>
      <c r="V181" s="6"/>
      <c r="W181" s="7" t="str">
        <f t="shared" si="4"/>
        <v/>
      </c>
      <c r="X181" s="8" t="str">
        <f t="shared" si="5"/>
        <v/>
      </c>
      <c r="AG181" s="9"/>
      <c r="AH181" s="10"/>
    </row>
    <row r="182" spans="3:34" x14ac:dyDescent="0.35">
      <c r="C182" s="5"/>
      <c r="D182" s="5"/>
      <c r="T182" s="6"/>
      <c r="U182" s="6"/>
      <c r="V182" s="6"/>
      <c r="W182" s="7" t="str">
        <f t="shared" si="4"/>
        <v/>
      </c>
      <c r="X182" s="8" t="str">
        <f t="shared" si="5"/>
        <v/>
      </c>
      <c r="AG182" s="9"/>
      <c r="AH182" s="10"/>
    </row>
    <row r="183" spans="3:34" x14ac:dyDescent="0.35">
      <c r="C183" s="5"/>
      <c r="D183" s="5"/>
      <c r="T183" s="6"/>
      <c r="U183" s="6"/>
      <c r="V183" s="6"/>
      <c r="W183" s="7" t="str">
        <f t="shared" si="4"/>
        <v/>
      </c>
      <c r="X183" s="8" t="str">
        <f t="shared" si="5"/>
        <v/>
      </c>
      <c r="AG183" s="9"/>
      <c r="AH183" s="10"/>
    </row>
    <row r="184" spans="3:34" x14ac:dyDescent="0.35">
      <c r="C184" s="5"/>
      <c r="D184" s="5"/>
      <c r="T184" s="6"/>
      <c r="U184" s="6"/>
      <c r="V184" s="6"/>
      <c r="W184" s="7" t="str">
        <f t="shared" si="4"/>
        <v/>
      </c>
      <c r="X184" s="8" t="str">
        <f t="shared" si="5"/>
        <v/>
      </c>
      <c r="AG184" s="9"/>
      <c r="AH184" s="10"/>
    </row>
    <row r="185" spans="3:34" x14ac:dyDescent="0.35">
      <c r="C185" s="5"/>
      <c r="D185" s="5"/>
      <c r="T185" s="6"/>
      <c r="U185" s="6"/>
      <c r="V185" s="6"/>
      <c r="W185" s="7" t="str">
        <f t="shared" si="4"/>
        <v/>
      </c>
      <c r="X185" s="8" t="str">
        <f t="shared" si="5"/>
        <v/>
      </c>
      <c r="AG185" s="9"/>
      <c r="AH185" s="10"/>
    </row>
    <row r="186" spans="3:34" x14ac:dyDescent="0.35">
      <c r="C186" s="5"/>
      <c r="D186" s="5"/>
      <c r="T186" s="6"/>
      <c r="U186" s="6"/>
      <c r="V186" s="6"/>
      <c r="W186" s="7" t="str">
        <f t="shared" si="4"/>
        <v/>
      </c>
      <c r="X186" s="8" t="str">
        <f t="shared" si="5"/>
        <v/>
      </c>
      <c r="AG186" s="9"/>
      <c r="AH186" s="10"/>
    </row>
    <row r="187" spans="3:34" x14ac:dyDescent="0.35">
      <c r="C187" s="5"/>
      <c r="D187" s="5"/>
      <c r="T187" s="6"/>
      <c r="U187" s="6"/>
      <c r="V187" s="6"/>
      <c r="W187" s="7" t="str">
        <f t="shared" si="4"/>
        <v/>
      </c>
      <c r="X187" s="8" t="str">
        <f t="shared" si="5"/>
        <v/>
      </c>
      <c r="AG187" s="9"/>
      <c r="AH187" s="10"/>
    </row>
    <row r="188" spans="3:34" x14ac:dyDescent="0.35">
      <c r="C188" s="5"/>
      <c r="D188" s="5"/>
      <c r="T188" s="6"/>
      <c r="U188" s="6"/>
      <c r="V188" s="6"/>
      <c r="W188" s="7" t="str">
        <f t="shared" si="4"/>
        <v/>
      </c>
      <c r="X188" s="8" t="str">
        <f t="shared" si="5"/>
        <v/>
      </c>
      <c r="AG188" s="9"/>
      <c r="AH188" s="10"/>
    </row>
    <row r="189" spans="3:34" x14ac:dyDescent="0.35">
      <c r="C189" s="5"/>
      <c r="D189" s="5"/>
      <c r="T189" s="6"/>
      <c r="U189" s="6"/>
      <c r="V189" s="6"/>
      <c r="W189" s="7" t="str">
        <f t="shared" si="4"/>
        <v/>
      </c>
      <c r="X189" s="8" t="str">
        <f t="shared" si="5"/>
        <v/>
      </c>
      <c r="AG189" s="9"/>
      <c r="AH189" s="10"/>
    </row>
    <row r="190" spans="3:34" x14ac:dyDescent="0.35">
      <c r="C190" s="5"/>
      <c r="D190" s="5"/>
      <c r="T190" s="6"/>
      <c r="U190" s="6"/>
      <c r="V190" s="6"/>
      <c r="W190" s="7" t="str">
        <f t="shared" si="4"/>
        <v/>
      </c>
      <c r="X190" s="8" t="str">
        <f t="shared" si="5"/>
        <v/>
      </c>
      <c r="AG190" s="9"/>
      <c r="AH190" s="10"/>
    </row>
    <row r="191" spans="3:34" x14ac:dyDescent="0.35">
      <c r="C191" s="5"/>
      <c r="D191" s="5"/>
      <c r="T191" s="6"/>
      <c r="U191" s="6"/>
      <c r="V191" s="6"/>
      <c r="W191" s="7" t="str">
        <f t="shared" si="4"/>
        <v/>
      </c>
      <c r="X191" s="8" t="str">
        <f t="shared" si="5"/>
        <v/>
      </c>
      <c r="AG191" s="9"/>
      <c r="AH191" s="10"/>
    </row>
    <row r="192" spans="3:34" x14ac:dyDescent="0.35">
      <c r="C192" s="5"/>
      <c r="D192" s="5"/>
      <c r="T192" s="6"/>
      <c r="U192" s="6"/>
      <c r="V192" s="6"/>
      <c r="W192" s="7" t="str">
        <f t="shared" si="4"/>
        <v/>
      </c>
      <c r="X192" s="8" t="str">
        <f t="shared" si="5"/>
        <v/>
      </c>
      <c r="AG192" s="9"/>
      <c r="AH192" s="10"/>
    </row>
    <row r="193" spans="3:34" x14ac:dyDescent="0.35">
      <c r="C193" s="5"/>
      <c r="D193" s="5"/>
      <c r="T193" s="6"/>
      <c r="U193" s="6"/>
      <c r="V193" s="6"/>
      <c r="W193" s="7" t="str">
        <f t="shared" si="4"/>
        <v/>
      </c>
      <c r="X193" s="8" t="str">
        <f t="shared" si="5"/>
        <v/>
      </c>
      <c r="AG193" s="9"/>
      <c r="AH193" s="10"/>
    </row>
    <row r="194" spans="3:34" x14ac:dyDescent="0.35">
      <c r="C194" s="5"/>
      <c r="D194" s="5"/>
      <c r="T194" s="6"/>
      <c r="U194" s="6"/>
      <c r="V194" s="6"/>
      <c r="W194" s="7" t="str">
        <f t="shared" ref="W194:W257" si="6">IF($U194&gt;0,$U194-$V194,"")</f>
        <v/>
      </c>
      <c r="X194" s="8" t="str">
        <f t="shared" ref="X194:X257" si="7">IF($U194&gt;0,($U194-$V194)/$U194,"")</f>
        <v/>
      </c>
      <c r="AG194" s="9"/>
      <c r="AH194" s="10"/>
    </row>
    <row r="195" spans="3:34" x14ac:dyDescent="0.35">
      <c r="C195" s="5"/>
      <c r="D195" s="5"/>
      <c r="T195" s="6"/>
      <c r="U195" s="6"/>
      <c r="V195" s="6"/>
      <c r="W195" s="7" t="str">
        <f t="shared" si="6"/>
        <v/>
      </c>
      <c r="X195" s="8" t="str">
        <f t="shared" si="7"/>
        <v/>
      </c>
      <c r="AG195" s="9"/>
      <c r="AH195" s="10"/>
    </row>
    <row r="196" spans="3:34" x14ac:dyDescent="0.35">
      <c r="C196" s="5"/>
      <c r="D196" s="5"/>
      <c r="T196" s="6"/>
      <c r="U196" s="6"/>
      <c r="V196" s="6"/>
      <c r="W196" s="7" t="str">
        <f t="shared" si="6"/>
        <v/>
      </c>
      <c r="X196" s="8" t="str">
        <f t="shared" si="7"/>
        <v/>
      </c>
      <c r="AG196" s="9"/>
      <c r="AH196" s="10"/>
    </row>
    <row r="197" spans="3:34" x14ac:dyDescent="0.35">
      <c r="C197" s="5"/>
      <c r="D197" s="5"/>
      <c r="T197" s="6"/>
      <c r="U197" s="6"/>
      <c r="V197" s="6"/>
      <c r="W197" s="7" t="str">
        <f t="shared" si="6"/>
        <v/>
      </c>
      <c r="X197" s="8" t="str">
        <f t="shared" si="7"/>
        <v/>
      </c>
      <c r="AG197" s="9"/>
      <c r="AH197" s="10"/>
    </row>
    <row r="198" spans="3:34" x14ac:dyDescent="0.35">
      <c r="C198" s="5"/>
      <c r="D198" s="5"/>
      <c r="T198" s="6"/>
      <c r="U198" s="6"/>
      <c r="V198" s="6"/>
      <c r="W198" s="7" t="str">
        <f t="shared" si="6"/>
        <v/>
      </c>
      <c r="X198" s="8" t="str">
        <f t="shared" si="7"/>
        <v/>
      </c>
      <c r="AG198" s="9"/>
      <c r="AH198" s="10"/>
    </row>
    <row r="199" spans="3:34" x14ac:dyDescent="0.35">
      <c r="C199" s="5"/>
      <c r="D199" s="5"/>
      <c r="T199" s="6"/>
      <c r="U199" s="6"/>
      <c r="V199" s="6"/>
      <c r="W199" s="7" t="str">
        <f t="shared" si="6"/>
        <v/>
      </c>
      <c r="X199" s="8" t="str">
        <f t="shared" si="7"/>
        <v/>
      </c>
      <c r="AG199" s="9"/>
      <c r="AH199" s="10"/>
    </row>
    <row r="200" spans="3:34" x14ac:dyDescent="0.35">
      <c r="C200" s="5"/>
      <c r="D200" s="5"/>
      <c r="T200" s="6"/>
      <c r="U200" s="6"/>
      <c r="V200" s="6"/>
      <c r="W200" s="7" t="str">
        <f t="shared" si="6"/>
        <v/>
      </c>
      <c r="X200" s="8" t="str">
        <f t="shared" si="7"/>
        <v/>
      </c>
      <c r="AG200" s="9"/>
      <c r="AH200" s="10"/>
    </row>
    <row r="201" spans="3:34" x14ac:dyDescent="0.35">
      <c r="C201" s="5"/>
      <c r="D201" s="5"/>
      <c r="T201" s="6"/>
      <c r="U201" s="6"/>
      <c r="V201" s="6"/>
      <c r="W201" s="7" t="str">
        <f t="shared" si="6"/>
        <v/>
      </c>
      <c r="X201" s="8" t="str">
        <f t="shared" si="7"/>
        <v/>
      </c>
      <c r="AG201" s="9"/>
      <c r="AH201" s="10"/>
    </row>
    <row r="202" spans="3:34" x14ac:dyDescent="0.35">
      <c r="C202" s="5"/>
      <c r="D202" s="5"/>
      <c r="T202" s="6"/>
      <c r="U202" s="6"/>
      <c r="V202" s="6"/>
      <c r="W202" s="7" t="str">
        <f t="shared" si="6"/>
        <v/>
      </c>
      <c r="X202" s="8" t="str">
        <f t="shared" si="7"/>
        <v/>
      </c>
      <c r="AG202" s="9"/>
      <c r="AH202" s="10"/>
    </row>
    <row r="203" spans="3:34" x14ac:dyDescent="0.35">
      <c r="C203" s="5"/>
      <c r="D203" s="5"/>
      <c r="T203" s="6"/>
      <c r="U203" s="6"/>
      <c r="V203" s="6"/>
      <c r="W203" s="7" t="str">
        <f t="shared" si="6"/>
        <v/>
      </c>
      <c r="X203" s="8" t="str">
        <f t="shared" si="7"/>
        <v/>
      </c>
      <c r="AG203" s="9"/>
      <c r="AH203" s="10"/>
    </row>
    <row r="204" spans="3:34" x14ac:dyDescent="0.35">
      <c r="C204" s="5"/>
      <c r="D204" s="5"/>
      <c r="T204" s="6"/>
      <c r="U204" s="6"/>
      <c r="V204" s="6"/>
      <c r="W204" s="7" t="str">
        <f t="shared" si="6"/>
        <v/>
      </c>
      <c r="X204" s="8" t="str">
        <f t="shared" si="7"/>
        <v/>
      </c>
      <c r="AG204" s="9"/>
      <c r="AH204" s="10"/>
    </row>
    <row r="205" spans="3:34" x14ac:dyDescent="0.35">
      <c r="C205" s="5"/>
      <c r="D205" s="5"/>
      <c r="T205" s="6"/>
      <c r="U205" s="6"/>
      <c r="V205" s="6"/>
      <c r="W205" s="7" t="str">
        <f t="shared" si="6"/>
        <v/>
      </c>
      <c r="X205" s="8" t="str">
        <f t="shared" si="7"/>
        <v/>
      </c>
      <c r="AG205" s="9"/>
      <c r="AH205" s="10"/>
    </row>
    <row r="206" spans="3:34" x14ac:dyDescent="0.35">
      <c r="C206" s="5"/>
      <c r="D206" s="5"/>
      <c r="T206" s="6"/>
      <c r="U206" s="6"/>
      <c r="V206" s="6"/>
      <c r="W206" s="7" t="str">
        <f t="shared" si="6"/>
        <v/>
      </c>
      <c r="X206" s="8" t="str">
        <f t="shared" si="7"/>
        <v/>
      </c>
      <c r="AG206" s="9"/>
      <c r="AH206" s="10"/>
    </row>
    <row r="207" spans="3:34" x14ac:dyDescent="0.35">
      <c r="C207" s="5"/>
      <c r="D207" s="5"/>
      <c r="T207" s="6"/>
      <c r="U207" s="6"/>
      <c r="V207" s="6"/>
      <c r="W207" s="7" t="str">
        <f t="shared" si="6"/>
        <v/>
      </c>
      <c r="X207" s="8" t="str">
        <f t="shared" si="7"/>
        <v/>
      </c>
      <c r="AG207" s="9"/>
      <c r="AH207" s="10"/>
    </row>
    <row r="208" spans="3:34" x14ac:dyDescent="0.35">
      <c r="C208" s="5"/>
      <c r="D208" s="5"/>
      <c r="T208" s="6"/>
      <c r="U208" s="6"/>
      <c r="V208" s="6"/>
      <c r="W208" s="7" t="str">
        <f t="shared" si="6"/>
        <v/>
      </c>
      <c r="X208" s="8" t="str">
        <f t="shared" si="7"/>
        <v/>
      </c>
      <c r="AG208" s="9"/>
      <c r="AH208" s="10"/>
    </row>
    <row r="209" spans="3:34" x14ac:dyDescent="0.35">
      <c r="C209" s="5"/>
      <c r="D209" s="5"/>
      <c r="T209" s="6"/>
      <c r="U209" s="6"/>
      <c r="V209" s="6"/>
      <c r="W209" s="7" t="str">
        <f t="shared" si="6"/>
        <v/>
      </c>
      <c r="X209" s="8" t="str">
        <f t="shared" si="7"/>
        <v/>
      </c>
      <c r="AG209" s="9"/>
      <c r="AH209" s="10"/>
    </row>
    <row r="210" spans="3:34" x14ac:dyDescent="0.35">
      <c r="C210" s="5"/>
      <c r="D210" s="5"/>
      <c r="T210" s="6"/>
      <c r="U210" s="6"/>
      <c r="V210" s="6"/>
      <c r="W210" s="7" t="str">
        <f t="shared" si="6"/>
        <v/>
      </c>
      <c r="X210" s="8" t="str">
        <f t="shared" si="7"/>
        <v/>
      </c>
      <c r="AG210" s="9"/>
      <c r="AH210" s="10"/>
    </row>
    <row r="211" spans="3:34" x14ac:dyDescent="0.35">
      <c r="C211" s="5"/>
      <c r="D211" s="5"/>
      <c r="T211" s="6"/>
      <c r="U211" s="6"/>
      <c r="V211" s="6"/>
      <c r="W211" s="7" t="str">
        <f t="shared" si="6"/>
        <v/>
      </c>
      <c r="X211" s="8" t="str">
        <f t="shared" si="7"/>
        <v/>
      </c>
      <c r="AG211" s="9"/>
      <c r="AH211" s="10"/>
    </row>
    <row r="212" spans="3:34" x14ac:dyDescent="0.35">
      <c r="C212" s="5"/>
      <c r="D212" s="5"/>
      <c r="T212" s="6"/>
      <c r="U212" s="6"/>
      <c r="V212" s="6"/>
      <c r="W212" s="7" t="str">
        <f t="shared" si="6"/>
        <v/>
      </c>
      <c r="X212" s="8" t="str">
        <f t="shared" si="7"/>
        <v/>
      </c>
      <c r="AG212" s="9"/>
      <c r="AH212" s="10"/>
    </row>
    <row r="213" spans="3:34" x14ac:dyDescent="0.35">
      <c r="C213" s="5"/>
      <c r="D213" s="5"/>
      <c r="T213" s="6"/>
      <c r="U213" s="6"/>
      <c r="V213" s="6"/>
      <c r="W213" s="7" t="str">
        <f t="shared" si="6"/>
        <v/>
      </c>
      <c r="X213" s="8" t="str">
        <f t="shared" si="7"/>
        <v/>
      </c>
      <c r="AG213" s="9"/>
      <c r="AH213" s="10"/>
    </row>
    <row r="214" spans="3:34" x14ac:dyDescent="0.35">
      <c r="C214" s="5"/>
      <c r="D214" s="5"/>
      <c r="T214" s="6"/>
      <c r="U214" s="6"/>
      <c r="V214" s="6"/>
      <c r="W214" s="7" t="str">
        <f t="shared" si="6"/>
        <v/>
      </c>
      <c r="X214" s="8" t="str">
        <f t="shared" si="7"/>
        <v/>
      </c>
      <c r="AG214" s="9"/>
      <c r="AH214" s="10"/>
    </row>
    <row r="215" spans="3:34" x14ac:dyDescent="0.35">
      <c r="C215" s="5"/>
      <c r="D215" s="5"/>
      <c r="T215" s="6"/>
      <c r="U215" s="6"/>
      <c r="V215" s="6"/>
      <c r="W215" s="7" t="str">
        <f t="shared" si="6"/>
        <v/>
      </c>
      <c r="X215" s="8" t="str">
        <f t="shared" si="7"/>
        <v/>
      </c>
      <c r="AG215" s="9"/>
      <c r="AH215" s="10"/>
    </row>
    <row r="216" spans="3:34" x14ac:dyDescent="0.35">
      <c r="C216" s="5"/>
      <c r="D216" s="5"/>
      <c r="T216" s="6"/>
      <c r="U216" s="6"/>
      <c r="V216" s="6"/>
      <c r="W216" s="7" t="str">
        <f t="shared" si="6"/>
        <v/>
      </c>
      <c r="X216" s="8" t="str">
        <f t="shared" si="7"/>
        <v/>
      </c>
      <c r="AG216" s="9"/>
      <c r="AH216" s="10"/>
    </row>
    <row r="217" spans="3:34" x14ac:dyDescent="0.35">
      <c r="C217" s="5"/>
      <c r="D217" s="5"/>
      <c r="T217" s="6"/>
      <c r="U217" s="6"/>
      <c r="V217" s="6"/>
      <c r="W217" s="7" t="str">
        <f t="shared" si="6"/>
        <v/>
      </c>
      <c r="X217" s="8" t="str">
        <f t="shared" si="7"/>
        <v/>
      </c>
      <c r="AG217" s="9"/>
      <c r="AH217" s="10"/>
    </row>
    <row r="218" spans="3:34" x14ac:dyDescent="0.35">
      <c r="C218" s="5"/>
      <c r="D218" s="5"/>
      <c r="T218" s="6"/>
      <c r="U218" s="6"/>
      <c r="V218" s="6"/>
      <c r="W218" s="7" t="str">
        <f t="shared" si="6"/>
        <v/>
      </c>
      <c r="X218" s="8" t="str">
        <f t="shared" si="7"/>
        <v/>
      </c>
      <c r="AG218" s="9"/>
      <c r="AH218" s="10"/>
    </row>
    <row r="219" spans="3:34" x14ac:dyDescent="0.35">
      <c r="C219" s="5"/>
      <c r="D219" s="5"/>
      <c r="T219" s="6"/>
      <c r="U219" s="6"/>
      <c r="V219" s="6"/>
      <c r="W219" s="7" t="str">
        <f t="shared" si="6"/>
        <v/>
      </c>
      <c r="X219" s="8" t="str">
        <f t="shared" si="7"/>
        <v/>
      </c>
      <c r="AG219" s="9"/>
      <c r="AH219" s="10"/>
    </row>
    <row r="220" spans="3:34" x14ac:dyDescent="0.35">
      <c r="C220" s="5"/>
      <c r="D220" s="5"/>
      <c r="T220" s="6"/>
      <c r="U220" s="6"/>
      <c r="V220" s="6"/>
      <c r="W220" s="7" t="str">
        <f t="shared" si="6"/>
        <v/>
      </c>
      <c r="X220" s="8" t="str">
        <f t="shared" si="7"/>
        <v/>
      </c>
      <c r="AG220" s="9"/>
      <c r="AH220" s="10"/>
    </row>
    <row r="221" spans="3:34" x14ac:dyDescent="0.35">
      <c r="C221" s="5"/>
      <c r="D221" s="5"/>
      <c r="T221" s="6"/>
      <c r="U221" s="6"/>
      <c r="V221" s="6"/>
      <c r="W221" s="7" t="str">
        <f t="shared" si="6"/>
        <v/>
      </c>
      <c r="X221" s="8" t="str">
        <f t="shared" si="7"/>
        <v/>
      </c>
      <c r="AG221" s="9"/>
      <c r="AH221" s="10"/>
    </row>
    <row r="222" spans="3:34" x14ac:dyDescent="0.35">
      <c r="C222" s="5"/>
      <c r="D222" s="5"/>
      <c r="T222" s="6"/>
      <c r="U222" s="6"/>
      <c r="V222" s="6"/>
      <c r="W222" s="7" t="str">
        <f t="shared" si="6"/>
        <v/>
      </c>
      <c r="X222" s="8" t="str">
        <f t="shared" si="7"/>
        <v/>
      </c>
      <c r="AG222" s="9"/>
      <c r="AH222" s="10"/>
    </row>
    <row r="223" spans="3:34" x14ac:dyDescent="0.35">
      <c r="C223" s="5"/>
      <c r="D223" s="5"/>
      <c r="T223" s="6"/>
      <c r="U223" s="6"/>
      <c r="V223" s="6"/>
      <c r="W223" s="7" t="str">
        <f t="shared" si="6"/>
        <v/>
      </c>
      <c r="X223" s="8" t="str">
        <f t="shared" si="7"/>
        <v/>
      </c>
      <c r="AG223" s="9"/>
      <c r="AH223" s="10"/>
    </row>
    <row r="224" spans="3:34" x14ac:dyDescent="0.35">
      <c r="C224" s="5"/>
      <c r="D224" s="5"/>
      <c r="T224" s="6"/>
      <c r="U224" s="6"/>
      <c r="V224" s="6"/>
      <c r="W224" s="7" t="str">
        <f t="shared" si="6"/>
        <v/>
      </c>
      <c r="X224" s="8" t="str">
        <f t="shared" si="7"/>
        <v/>
      </c>
      <c r="AG224" s="9"/>
      <c r="AH224" s="10"/>
    </row>
    <row r="225" spans="3:34" x14ac:dyDescent="0.35">
      <c r="C225" s="5"/>
      <c r="D225" s="5"/>
      <c r="T225" s="6"/>
      <c r="U225" s="6"/>
      <c r="V225" s="6"/>
      <c r="W225" s="7" t="str">
        <f t="shared" si="6"/>
        <v/>
      </c>
      <c r="X225" s="8" t="str">
        <f t="shared" si="7"/>
        <v/>
      </c>
      <c r="AG225" s="9"/>
      <c r="AH225" s="10"/>
    </row>
    <row r="226" spans="3:34" x14ac:dyDescent="0.35">
      <c r="C226" s="5"/>
      <c r="D226" s="5"/>
      <c r="T226" s="6"/>
      <c r="U226" s="6"/>
      <c r="V226" s="6"/>
      <c r="W226" s="7" t="str">
        <f t="shared" si="6"/>
        <v/>
      </c>
      <c r="X226" s="8" t="str">
        <f t="shared" si="7"/>
        <v/>
      </c>
      <c r="AG226" s="9"/>
      <c r="AH226" s="10"/>
    </row>
    <row r="227" spans="3:34" x14ac:dyDescent="0.35">
      <c r="C227" s="5"/>
      <c r="D227" s="5"/>
      <c r="T227" s="6"/>
      <c r="U227" s="6"/>
      <c r="V227" s="6"/>
      <c r="W227" s="7" t="str">
        <f t="shared" si="6"/>
        <v/>
      </c>
      <c r="X227" s="8" t="str">
        <f t="shared" si="7"/>
        <v/>
      </c>
      <c r="AG227" s="9"/>
      <c r="AH227" s="10"/>
    </row>
    <row r="228" spans="3:34" x14ac:dyDescent="0.35">
      <c r="C228" s="5"/>
      <c r="D228" s="5"/>
      <c r="T228" s="6"/>
      <c r="U228" s="6"/>
      <c r="V228" s="6"/>
      <c r="W228" s="7" t="str">
        <f t="shared" si="6"/>
        <v/>
      </c>
      <c r="X228" s="8" t="str">
        <f t="shared" si="7"/>
        <v/>
      </c>
      <c r="AG228" s="9"/>
      <c r="AH228" s="10"/>
    </row>
    <row r="229" spans="3:34" x14ac:dyDescent="0.35">
      <c r="C229" s="5"/>
      <c r="D229" s="5"/>
      <c r="T229" s="6"/>
      <c r="U229" s="6"/>
      <c r="V229" s="6"/>
      <c r="W229" s="7" t="str">
        <f t="shared" si="6"/>
        <v/>
      </c>
      <c r="X229" s="8" t="str">
        <f t="shared" si="7"/>
        <v/>
      </c>
      <c r="AG229" s="9"/>
      <c r="AH229" s="10"/>
    </row>
    <row r="230" spans="3:34" x14ac:dyDescent="0.35">
      <c r="C230" s="5"/>
      <c r="D230" s="5"/>
      <c r="T230" s="6"/>
      <c r="U230" s="6"/>
      <c r="V230" s="6"/>
      <c r="W230" s="7" t="str">
        <f t="shared" si="6"/>
        <v/>
      </c>
      <c r="X230" s="8" t="str">
        <f t="shared" si="7"/>
        <v/>
      </c>
      <c r="AG230" s="9"/>
      <c r="AH230" s="10"/>
    </row>
    <row r="231" spans="3:34" x14ac:dyDescent="0.35">
      <c r="C231" s="5"/>
      <c r="D231" s="5"/>
      <c r="T231" s="6"/>
      <c r="U231" s="6"/>
      <c r="V231" s="6"/>
      <c r="W231" s="7" t="str">
        <f t="shared" si="6"/>
        <v/>
      </c>
      <c r="X231" s="8" t="str">
        <f t="shared" si="7"/>
        <v/>
      </c>
      <c r="AG231" s="9"/>
      <c r="AH231" s="10"/>
    </row>
    <row r="232" spans="3:34" x14ac:dyDescent="0.35">
      <c r="C232" s="5"/>
      <c r="D232" s="5"/>
      <c r="T232" s="6"/>
      <c r="U232" s="6"/>
      <c r="V232" s="6"/>
      <c r="W232" s="7" t="str">
        <f t="shared" si="6"/>
        <v/>
      </c>
      <c r="X232" s="8" t="str">
        <f t="shared" si="7"/>
        <v/>
      </c>
      <c r="AG232" s="9"/>
      <c r="AH232" s="10"/>
    </row>
    <row r="233" spans="3:34" x14ac:dyDescent="0.35">
      <c r="C233" s="5"/>
      <c r="D233" s="5"/>
      <c r="T233" s="6"/>
      <c r="U233" s="6"/>
      <c r="V233" s="6"/>
      <c r="W233" s="7" t="str">
        <f t="shared" si="6"/>
        <v/>
      </c>
      <c r="X233" s="8" t="str">
        <f t="shared" si="7"/>
        <v/>
      </c>
      <c r="AG233" s="9"/>
      <c r="AH233" s="10"/>
    </row>
    <row r="234" spans="3:34" x14ac:dyDescent="0.35">
      <c r="C234" s="5"/>
      <c r="D234" s="5"/>
      <c r="T234" s="6"/>
      <c r="U234" s="6"/>
      <c r="V234" s="6"/>
      <c r="W234" s="7" t="str">
        <f t="shared" si="6"/>
        <v/>
      </c>
      <c r="X234" s="8" t="str">
        <f t="shared" si="7"/>
        <v/>
      </c>
      <c r="AG234" s="9"/>
      <c r="AH234" s="10"/>
    </row>
    <row r="235" spans="3:34" x14ac:dyDescent="0.35">
      <c r="C235" s="5"/>
      <c r="D235" s="5"/>
      <c r="T235" s="6"/>
      <c r="U235" s="6"/>
      <c r="V235" s="6"/>
      <c r="W235" s="7" t="str">
        <f t="shared" si="6"/>
        <v/>
      </c>
      <c r="X235" s="8" t="str">
        <f t="shared" si="7"/>
        <v/>
      </c>
      <c r="AG235" s="9"/>
      <c r="AH235" s="10"/>
    </row>
    <row r="236" spans="3:34" x14ac:dyDescent="0.35">
      <c r="C236" s="5"/>
      <c r="D236" s="5"/>
      <c r="T236" s="6"/>
      <c r="U236" s="6"/>
      <c r="V236" s="6"/>
      <c r="W236" s="7" t="str">
        <f t="shared" si="6"/>
        <v/>
      </c>
      <c r="X236" s="8" t="str">
        <f t="shared" si="7"/>
        <v/>
      </c>
      <c r="AG236" s="9"/>
      <c r="AH236" s="10"/>
    </row>
    <row r="237" spans="3:34" x14ac:dyDescent="0.35">
      <c r="C237" s="5"/>
      <c r="D237" s="5"/>
      <c r="T237" s="6"/>
      <c r="U237" s="6"/>
      <c r="V237" s="6"/>
      <c r="W237" s="7" t="str">
        <f t="shared" si="6"/>
        <v/>
      </c>
      <c r="X237" s="8" t="str">
        <f t="shared" si="7"/>
        <v/>
      </c>
      <c r="AG237" s="9"/>
      <c r="AH237" s="10"/>
    </row>
    <row r="238" spans="3:34" x14ac:dyDescent="0.35">
      <c r="C238" s="5"/>
      <c r="D238" s="5"/>
      <c r="T238" s="6"/>
      <c r="U238" s="6"/>
      <c r="V238" s="6"/>
      <c r="W238" s="7" t="str">
        <f t="shared" si="6"/>
        <v/>
      </c>
      <c r="X238" s="8" t="str">
        <f t="shared" si="7"/>
        <v/>
      </c>
      <c r="AG238" s="9"/>
      <c r="AH238" s="10"/>
    </row>
    <row r="239" spans="3:34" x14ac:dyDescent="0.35">
      <c r="C239" s="5"/>
      <c r="D239" s="5"/>
      <c r="T239" s="6"/>
      <c r="U239" s="6"/>
      <c r="V239" s="6"/>
      <c r="W239" s="7" t="str">
        <f t="shared" si="6"/>
        <v/>
      </c>
      <c r="X239" s="8" t="str">
        <f t="shared" si="7"/>
        <v/>
      </c>
      <c r="AG239" s="9"/>
      <c r="AH239" s="10"/>
    </row>
    <row r="240" spans="3:34" x14ac:dyDescent="0.35">
      <c r="C240" s="5"/>
      <c r="D240" s="5"/>
      <c r="T240" s="6"/>
      <c r="U240" s="6"/>
      <c r="V240" s="6"/>
      <c r="W240" s="7" t="str">
        <f t="shared" si="6"/>
        <v/>
      </c>
      <c r="X240" s="8" t="str">
        <f t="shared" si="7"/>
        <v/>
      </c>
      <c r="AG240" s="9"/>
      <c r="AH240" s="10"/>
    </row>
    <row r="241" spans="3:34" x14ac:dyDescent="0.35">
      <c r="C241" s="5"/>
      <c r="D241" s="5"/>
      <c r="T241" s="6"/>
      <c r="U241" s="6"/>
      <c r="V241" s="6"/>
      <c r="W241" s="7" t="str">
        <f t="shared" si="6"/>
        <v/>
      </c>
      <c r="X241" s="8" t="str">
        <f t="shared" si="7"/>
        <v/>
      </c>
      <c r="AG241" s="9"/>
      <c r="AH241" s="10"/>
    </row>
    <row r="242" spans="3:34" x14ac:dyDescent="0.35">
      <c r="C242" s="5"/>
      <c r="D242" s="5"/>
      <c r="T242" s="6"/>
      <c r="U242" s="6"/>
      <c r="V242" s="6"/>
      <c r="W242" s="7" t="str">
        <f t="shared" si="6"/>
        <v/>
      </c>
      <c r="X242" s="8" t="str">
        <f t="shared" si="7"/>
        <v/>
      </c>
      <c r="AG242" s="9"/>
      <c r="AH242" s="10"/>
    </row>
    <row r="243" spans="3:34" x14ac:dyDescent="0.35">
      <c r="C243" s="5"/>
      <c r="D243" s="5"/>
      <c r="T243" s="6"/>
      <c r="U243" s="6"/>
      <c r="V243" s="6"/>
      <c r="W243" s="7" t="str">
        <f t="shared" si="6"/>
        <v/>
      </c>
      <c r="X243" s="8" t="str">
        <f t="shared" si="7"/>
        <v/>
      </c>
      <c r="AG243" s="9"/>
      <c r="AH243" s="10"/>
    </row>
    <row r="244" spans="3:34" x14ac:dyDescent="0.35">
      <c r="C244" s="5"/>
      <c r="D244" s="5"/>
      <c r="T244" s="6"/>
      <c r="U244" s="6"/>
      <c r="V244" s="6"/>
      <c r="W244" s="7" t="str">
        <f t="shared" si="6"/>
        <v/>
      </c>
      <c r="X244" s="8" t="str">
        <f t="shared" si="7"/>
        <v/>
      </c>
      <c r="AG244" s="9"/>
      <c r="AH244" s="10"/>
    </row>
    <row r="245" spans="3:34" x14ac:dyDescent="0.35">
      <c r="C245" s="5"/>
      <c r="D245" s="5"/>
      <c r="T245" s="6"/>
      <c r="U245" s="6"/>
      <c r="V245" s="6"/>
      <c r="W245" s="7" t="str">
        <f t="shared" si="6"/>
        <v/>
      </c>
      <c r="X245" s="8" t="str">
        <f t="shared" si="7"/>
        <v/>
      </c>
      <c r="AG245" s="9"/>
      <c r="AH245" s="10"/>
    </row>
    <row r="246" spans="3:34" x14ac:dyDescent="0.35">
      <c r="C246" s="5"/>
      <c r="D246" s="5"/>
      <c r="T246" s="6"/>
      <c r="U246" s="6"/>
      <c r="V246" s="6"/>
      <c r="W246" s="7" t="str">
        <f t="shared" si="6"/>
        <v/>
      </c>
      <c r="X246" s="8" t="str">
        <f t="shared" si="7"/>
        <v/>
      </c>
      <c r="AG246" s="9"/>
      <c r="AH246" s="10"/>
    </row>
    <row r="247" spans="3:34" x14ac:dyDescent="0.35">
      <c r="C247" s="5"/>
      <c r="D247" s="5"/>
      <c r="T247" s="6"/>
      <c r="U247" s="6"/>
      <c r="V247" s="6"/>
      <c r="W247" s="7" t="str">
        <f t="shared" si="6"/>
        <v/>
      </c>
      <c r="X247" s="8" t="str">
        <f t="shared" si="7"/>
        <v/>
      </c>
      <c r="AG247" s="9"/>
      <c r="AH247" s="10"/>
    </row>
    <row r="248" spans="3:34" x14ac:dyDescent="0.35">
      <c r="C248" s="5"/>
      <c r="D248" s="5"/>
      <c r="T248" s="6"/>
      <c r="U248" s="6"/>
      <c r="V248" s="6"/>
      <c r="W248" s="7" t="str">
        <f t="shared" si="6"/>
        <v/>
      </c>
      <c r="X248" s="8" t="str">
        <f t="shared" si="7"/>
        <v/>
      </c>
      <c r="AG248" s="9"/>
      <c r="AH248" s="10"/>
    </row>
    <row r="249" spans="3:34" x14ac:dyDescent="0.35">
      <c r="C249" s="5"/>
      <c r="D249" s="5"/>
      <c r="T249" s="6"/>
      <c r="U249" s="6"/>
      <c r="V249" s="6"/>
      <c r="W249" s="7" t="str">
        <f t="shared" si="6"/>
        <v/>
      </c>
      <c r="X249" s="8" t="str">
        <f t="shared" si="7"/>
        <v/>
      </c>
      <c r="AG249" s="9"/>
      <c r="AH249" s="10"/>
    </row>
    <row r="250" spans="3:34" x14ac:dyDescent="0.35">
      <c r="C250" s="5"/>
      <c r="D250" s="5"/>
      <c r="T250" s="6"/>
      <c r="U250" s="6"/>
      <c r="V250" s="6"/>
      <c r="W250" s="7" t="str">
        <f t="shared" si="6"/>
        <v/>
      </c>
      <c r="X250" s="8" t="str">
        <f t="shared" si="7"/>
        <v/>
      </c>
      <c r="AG250" s="9"/>
      <c r="AH250" s="10"/>
    </row>
    <row r="251" spans="3:34" x14ac:dyDescent="0.35">
      <c r="C251" s="5"/>
      <c r="D251" s="5"/>
      <c r="T251" s="6"/>
      <c r="U251" s="6"/>
      <c r="V251" s="6"/>
      <c r="W251" s="7" t="str">
        <f t="shared" si="6"/>
        <v/>
      </c>
      <c r="X251" s="8" t="str">
        <f t="shared" si="7"/>
        <v/>
      </c>
      <c r="AG251" s="9"/>
      <c r="AH251" s="10"/>
    </row>
    <row r="252" spans="3:34" x14ac:dyDescent="0.35">
      <c r="C252" s="5"/>
      <c r="D252" s="5"/>
      <c r="T252" s="6"/>
      <c r="U252" s="6"/>
      <c r="V252" s="6"/>
      <c r="W252" s="7" t="str">
        <f t="shared" si="6"/>
        <v/>
      </c>
      <c r="X252" s="8" t="str">
        <f t="shared" si="7"/>
        <v/>
      </c>
      <c r="AG252" s="9"/>
      <c r="AH252" s="10"/>
    </row>
    <row r="253" spans="3:34" x14ac:dyDescent="0.35">
      <c r="C253" s="5"/>
      <c r="D253" s="5"/>
      <c r="T253" s="6"/>
      <c r="U253" s="6"/>
      <c r="V253" s="6"/>
      <c r="W253" s="7" t="str">
        <f t="shared" si="6"/>
        <v/>
      </c>
      <c r="X253" s="8" t="str">
        <f t="shared" si="7"/>
        <v/>
      </c>
      <c r="AG253" s="9"/>
      <c r="AH253" s="10"/>
    </row>
    <row r="254" spans="3:34" x14ac:dyDescent="0.35">
      <c r="C254" s="5"/>
      <c r="D254" s="5"/>
      <c r="T254" s="6"/>
      <c r="U254" s="6"/>
      <c r="V254" s="6"/>
      <c r="W254" s="7" t="str">
        <f t="shared" si="6"/>
        <v/>
      </c>
      <c r="X254" s="8" t="str">
        <f t="shared" si="7"/>
        <v/>
      </c>
      <c r="AG254" s="9"/>
      <c r="AH254" s="10"/>
    </row>
    <row r="255" spans="3:34" x14ac:dyDescent="0.35">
      <c r="C255" s="5"/>
      <c r="D255" s="5"/>
      <c r="T255" s="6"/>
      <c r="U255" s="6"/>
      <c r="V255" s="6"/>
      <c r="W255" s="7" t="str">
        <f t="shared" si="6"/>
        <v/>
      </c>
      <c r="X255" s="8" t="str">
        <f t="shared" si="7"/>
        <v/>
      </c>
      <c r="AG255" s="9"/>
      <c r="AH255" s="10"/>
    </row>
    <row r="256" spans="3:34" x14ac:dyDescent="0.35">
      <c r="C256" s="5"/>
      <c r="D256" s="5"/>
      <c r="T256" s="6"/>
      <c r="U256" s="6"/>
      <c r="V256" s="6"/>
      <c r="W256" s="7" t="str">
        <f t="shared" si="6"/>
        <v/>
      </c>
      <c r="X256" s="8" t="str">
        <f t="shared" si="7"/>
        <v/>
      </c>
      <c r="AG256" s="9"/>
      <c r="AH256" s="10"/>
    </row>
    <row r="257" spans="3:34" x14ac:dyDescent="0.35">
      <c r="C257" s="5"/>
      <c r="D257" s="5"/>
      <c r="T257" s="6"/>
      <c r="U257" s="6"/>
      <c r="V257" s="6"/>
      <c r="W257" s="7" t="str">
        <f t="shared" si="6"/>
        <v/>
      </c>
      <c r="X257" s="8" t="str">
        <f t="shared" si="7"/>
        <v/>
      </c>
      <c r="AG257" s="9"/>
      <c r="AH257" s="10"/>
    </row>
    <row r="258" spans="3:34" x14ac:dyDescent="0.35">
      <c r="C258" s="5"/>
      <c r="D258" s="5"/>
      <c r="T258" s="6"/>
      <c r="U258" s="6"/>
      <c r="V258" s="6"/>
      <c r="W258" s="7" t="str">
        <f t="shared" ref="W258:W321" si="8">IF($U258&gt;0,$U258-$V258,"")</f>
        <v/>
      </c>
      <c r="X258" s="8" t="str">
        <f t="shared" ref="X258:X321" si="9">IF($U258&gt;0,($U258-$V258)/$U258,"")</f>
        <v/>
      </c>
      <c r="AG258" s="9"/>
      <c r="AH258" s="10"/>
    </row>
    <row r="259" spans="3:34" x14ac:dyDescent="0.35">
      <c r="C259" s="5"/>
      <c r="D259" s="5"/>
      <c r="T259" s="6"/>
      <c r="U259" s="6"/>
      <c r="V259" s="6"/>
      <c r="W259" s="7" t="str">
        <f t="shared" si="8"/>
        <v/>
      </c>
      <c r="X259" s="8" t="str">
        <f t="shared" si="9"/>
        <v/>
      </c>
      <c r="AG259" s="9"/>
      <c r="AH259" s="10"/>
    </row>
    <row r="260" spans="3:34" x14ac:dyDescent="0.35">
      <c r="C260" s="5"/>
      <c r="D260" s="5"/>
      <c r="T260" s="6"/>
      <c r="U260" s="6"/>
      <c r="V260" s="6"/>
      <c r="W260" s="7" t="str">
        <f t="shared" si="8"/>
        <v/>
      </c>
      <c r="X260" s="8" t="str">
        <f t="shared" si="9"/>
        <v/>
      </c>
      <c r="AG260" s="9"/>
      <c r="AH260" s="10"/>
    </row>
    <row r="261" spans="3:34" x14ac:dyDescent="0.35">
      <c r="C261" s="5"/>
      <c r="D261" s="5"/>
      <c r="T261" s="6"/>
      <c r="U261" s="6"/>
      <c r="V261" s="6"/>
      <c r="W261" s="7" t="str">
        <f t="shared" si="8"/>
        <v/>
      </c>
      <c r="X261" s="8" t="str">
        <f t="shared" si="9"/>
        <v/>
      </c>
      <c r="AG261" s="9"/>
      <c r="AH261" s="10"/>
    </row>
    <row r="262" spans="3:34" x14ac:dyDescent="0.35">
      <c r="C262" s="5"/>
      <c r="D262" s="5"/>
      <c r="T262" s="6"/>
      <c r="U262" s="6"/>
      <c r="V262" s="6"/>
      <c r="W262" s="7" t="str">
        <f t="shared" si="8"/>
        <v/>
      </c>
      <c r="X262" s="8" t="str">
        <f t="shared" si="9"/>
        <v/>
      </c>
      <c r="AG262" s="9"/>
      <c r="AH262" s="10"/>
    </row>
    <row r="263" spans="3:34" x14ac:dyDescent="0.35">
      <c r="C263" s="5"/>
      <c r="D263" s="5"/>
      <c r="T263" s="6"/>
      <c r="U263" s="6"/>
      <c r="V263" s="6"/>
      <c r="W263" s="7" t="str">
        <f t="shared" si="8"/>
        <v/>
      </c>
      <c r="X263" s="8" t="str">
        <f t="shared" si="9"/>
        <v/>
      </c>
      <c r="AG263" s="9"/>
      <c r="AH263" s="10"/>
    </row>
    <row r="264" spans="3:34" x14ac:dyDescent="0.35">
      <c r="C264" s="5"/>
      <c r="D264" s="5"/>
      <c r="T264" s="6"/>
      <c r="U264" s="6"/>
      <c r="V264" s="6"/>
      <c r="W264" s="7" t="str">
        <f t="shared" si="8"/>
        <v/>
      </c>
      <c r="X264" s="8" t="str">
        <f t="shared" si="9"/>
        <v/>
      </c>
      <c r="AG264" s="9"/>
      <c r="AH264" s="10"/>
    </row>
    <row r="265" spans="3:34" x14ac:dyDescent="0.35">
      <c r="C265" s="5"/>
      <c r="D265" s="5"/>
      <c r="T265" s="6"/>
      <c r="U265" s="6"/>
      <c r="V265" s="6"/>
      <c r="W265" s="7" t="str">
        <f t="shared" si="8"/>
        <v/>
      </c>
      <c r="X265" s="8" t="str">
        <f t="shared" si="9"/>
        <v/>
      </c>
      <c r="AG265" s="9"/>
      <c r="AH265" s="10"/>
    </row>
    <row r="266" spans="3:34" x14ac:dyDescent="0.35">
      <c r="C266" s="5"/>
      <c r="D266" s="5"/>
      <c r="T266" s="6"/>
      <c r="U266" s="6"/>
      <c r="V266" s="6"/>
      <c r="W266" s="7" t="str">
        <f t="shared" si="8"/>
        <v/>
      </c>
      <c r="X266" s="8" t="str">
        <f t="shared" si="9"/>
        <v/>
      </c>
      <c r="AG266" s="9"/>
      <c r="AH266" s="10"/>
    </row>
    <row r="267" spans="3:34" x14ac:dyDescent="0.35">
      <c r="C267" s="5"/>
      <c r="D267" s="5"/>
      <c r="T267" s="6"/>
      <c r="U267" s="6"/>
      <c r="V267" s="6"/>
      <c r="W267" s="7" t="str">
        <f t="shared" si="8"/>
        <v/>
      </c>
      <c r="X267" s="8" t="str">
        <f t="shared" si="9"/>
        <v/>
      </c>
      <c r="AG267" s="9"/>
      <c r="AH267" s="10"/>
    </row>
    <row r="268" spans="3:34" x14ac:dyDescent="0.35">
      <c r="C268" s="5"/>
      <c r="D268" s="5"/>
      <c r="T268" s="6"/>
      <c r="U268" s="6"/>
      <c r="V268" s="6"/>
      <c r="W268" s="7" t="str">
        <f t="shared" si="8"/>
        <v/>
      </c>
      <c r="X268" s="8" t="str">
        <f t="shared" si="9"/>
        <v/>
      </c>
      <c r="AG268" s="9"/>
      <c r="AH268" s="10"/>
    </row>
    <row r="269" spans="3:34" x14ac:dyDescent="0.35">
      <c r="C269" s="5"/>
      <c r="D269" s="5"/>
      <c r="T269" s="6"/>
      <c r="U269" s="6"/>
      <c r="V269" s="6"/>
      <c r="W269" s="7" t="str">
        <f t="shared" si="8"/>
        <v/>
      </c>
      <c r="X269" s="8" t="str">
        <f t="shared" si="9"/>
        <v/>
      </c>
      <c r="AG269" s="9"/>
      <c r="AH269" s="10"/>
    </row>
    <row r="270" spans="3:34" x14ac:dyDescent="0.35">
      <c r="C270" s="5"/>
      <c r="D270" s="5"/>
      <c r="T270" s="6"/>
      <c r="U270" s="6"/>
      <c r="V270" s="6"/>
      <c r="W270" s="7" t="str">
        <f t="shared" si="8"/>
        <v/>
      </c>
      <c r="X270" s="8" t="str">
        <f t="shared" si="9"/>
        <v/>
      </c>
      <c r="AG270" s="9"/>
      <c r="AH270" s="10"/>
    </row>
    <row r="271" spans="3:34" x14ac:dyDescent="0.35">
      <c r="C271" s="5"/>
      <c r="D271" s="5"/>
      <c r="T271" s="6"/>
      <c r="U271" s="6"/>
      <c r="V271" s="6"/>
      <c r="W271" s="7" t="str">
        <f t="shared" si="8"/>
        <v/>
      </c>
      <c r="X271" s="8" t="str">
        <f t="shared" si="9"/>
        <v/>
      </c>
      <c r="AG271" s="9"/>
      <c r="AH271" s="10"/>
    </row>
    <row r="272" spans="3:34" x14ac:dyDescent="0.35">
      <c r="C272" s="5"/>
      <c r="D272" s="5"/>
      <c r="T272" s="6"/>
      <c r="U272" s="6"/>
      <c r="V272" s="6"/>
      <c r="W272" s="7" t="str">
        <f t="shared" si="8"/>
        <v/>
      </c>
      <c r="X272" s="8" t="str">
        <f t="shared" si="9"/>
        <v/>
      </c>
      <c r="AG272" s="9"/>
      <c r="AH272" s="10"/>
    </row>
    <row r="273" spans="3:34" x14ac:dyDescent="0.35">
      <c r="C273" s="5"/>
      <c r="D273" s="5"/>
      <c r="T273" s="6"/>
      <c r="U273" s="6"/>
      <c r="V273" s="6"/>
      <c r="W273" s="7" t="str">
        <f t="shared" si="8"/>
        <v/>
      </c>
      <c r="X273" s="8" t="str">
        <f t="shared" si="9"/>
        <v/>
      </c>
      <c r="AG273" s="9"/>
      <c r="AH273" s="10"/>
    </row>
    <row r="274" spans="3:34" x14ac:dyDescent="0.35">
      <c r="C274" s="5"/>
      <c r="D274" s="5"/>
      <c r="T274" s="6"/>
      <c r="U274" s="6"/>
      <c r="V274" s="6"/>
      <c r="W274" s="7" t="str">
        <f t="shared" si="8"/>
        <v/>
      </c>
      <c r="X274" s="8" t="str">
        <f t="shared" si="9"/>
        <v/>
      </c>
      <c r="AG274" s="9"/>
      <c r="AH274" s="10"/>
    </row>
    <row r="275" spans="3:34" x14ac:dyDescent="0.35">
      <c r="C275" s="5"/>
      <c r="D275" s="5"/>
      <c r="T275" s="6"/>
      <c r="U275" s="6"/>
      <c r="V275" s="6"/>
      <c r="W275" s="7" t="str">
        <f t="shared" si="8"/>
        <v/>
      </c>
      <c r="X275" s="8" t="str">
        <f t="shared" si="9"/>
        <v/>
      </c>
      <c r="AG275" s="9"/>
      <c r="AH275" s="10"/>
    </row>
    <row r="276" spans="3:34" x14ac:dyDescent="0.35">
      <c r="C276" s="5"/>
      <c r="D276" s="5"/>
      <c r="T276" s="6"/>
      <c r="U276" s="6"/>
      <c r="V276" s="6"/>
      <c r="W276" s="7" t="str">
        <f t="shared" si="8"/>
        <v/>
      </c>
      <c r="X276" s="8" t="str">
        <f t="shared" si="9"/>
        <v/>
      </c>
      <c r="AG276" s="9"/>
      <c r="AH276" s="10"/>
    </row>
    <row r="277" spans="3:34" x14ac:dyDescent="0.35">
      <c r="C277" s="5"/>
      <c r="D277" s="5"/>
      <c r="T277" s="6"/>
      <c r="U277" s="6"/>
      <c r="V277" s="6"/>
      <c r="W277" s="7" t="str">
        <f t="shared" si="8"/>
        <v/>
      </c>
      <c r="X277" s="8" t="str">
        <f t="shared" si="9"/>
        <v/>
      </c>
      <c r="AG277" s="9"/>
      <c r="AH277" s="10"/>
    </row>
    <row r="278" spans="3:34" x14ac:dyDescent="0.35">
      <c r="C278" s="5"/>
      <c r="D278" s="5"/>
      <c r="T278" s="6"/>
      <c r="U278" s="6"/>
      <c r="V278" s="6"/>
      <c r="W278" s="7" t="str">
        <f t="shared" si="8"/>
        <v/>
      </c>
      <c r="X278" s="8" t="str">
        <f t="shared" si="9"/>
        <v/>
      </c>
      <c r="AG278" s="9"/>
      <c r="AH278" s="10"/>
    </row>
    <row r="279" spans="3:34" x14ac:dyDescent="0.35">
      <c r="C279" s="5"/>
      <c r="D279" s="5"/>
      <c r="T279" s="6"/>
      <c r="U279" s="6"/>
      <c r="V279" s="6"/>
      <c r="W279" s="7" t="str">
        <f t="shared" si="8"/>
        <v/>
      </c>
      <c r="X279" s="8" t="str">
        <f t="shared" si="9"/>
        <v/>
      </c>
      <c r="AG279" s="9"/>
      <c r="AH279" s="10"/>
    </row>
    <row r="280" spans="3:34" x14ac:dyDescent="0.35">
      <c r="C280" s="5"/>
      <c r="D280" s="5"/>
      <c r="T280" s="6"/>
      <c r="U280" s="6"/>
      <c r="V280" s="6"/>
      <c r="W280" s="7" t="str">
        <f t="shared" si="8"/>
        <v/>
      </c>
      <c r="X280" s="8" t="str">
        <f t="shared" si="9"/>
        <v/>
      </c>
      <c r="AG280" s="9"/>
      <c r="AH280" s="10"/>
    </row>
    <row r="281" spans="3:34" x14ac:dyDescent="0.35">
      <c r="C281" s="5"/>
      <c r="D281" s="5"/>
      <c r="T281" s="6"/>
      <c r="U281" s="6"/>
      <c r="V281" s="6"/>
      <c r="W281" s="7" t="str">
        <f t="shared" si="8"/>
        <v/>
      </c>
      <c r="X281" s="8" t="str">
        <f t="shared" si="9"/>
        <v/>
      </c>
      <c r="AG281" s="9"/>
      <c r="AH281" s="10"/>
    </row>
    <row r="282" spans="3:34" x14ac:dyDescent="0.35">
      <c r="C282" s="5"/>
      <c r="D282" s="5"/>
      <c r="T282" s="6"/>
      <c r="U282" s="6"/>
      <c r="V282" s="6"/>
      <c r="W282" s="7" t="str">
        <f t="shared" si="8"/>
        <v/>
      </c>
      <c r="X282" s="8" t="str">
        <f t="shared" si="9"/>
        <v/>
      </c>
      <c r="AG282" s="9"/>
      <c r="AH282" s="10"/>
    </row>
    <row r="283" spans="3:34" x14ac:dyDescent="0.35">
      <c r="C283" s="5"/>
      <c r="D283" s="5"/>
      <c r="T283" s="6"/>
      <c r="U283" s="6"/>
      <c r="V283" s="6"/>
      <c r="W283" s="7" t="str">
        <f t="shared" si="8"/>
        <v/>
      </c>
      <c r="X283" s="8" t="str">
        <f t="shared" si="9"/>
        <v/>
      </c>
      <c r="AG283" s="9"/>
      <c r="AH283" s="10"/>
    </row>
    <row r="284" spans="3:34" x14ac:dyDescent="0.35">
      <c r="C284" s="5"/>
      <c r="D284" s="5"/>
      <c r="T284" s="6"/>
      <c r="U284" s="6"/>
      <c r="V284" s="6"/>
      <c r="W284" s="7" t="str">
        <f t="shared" si="8"/>
        <v/>
      </c>
      <c r="X284" s="8" t="str">
        <f t="shared" si="9"/>
        <v/>
      </c>
      <c r="AG284" s="9"/>
      <c r="AH284" s="10"/>
    </row>
    <row r="285" spans="3:34" x14ac:dyDescent="0.35">
      <c r="C285" s="5"/>
      <c r="D285" s="5"/>
      <c r="T285" s="6"/>
      <c r="U285" s="6"/>
      <c r="V285" s="6"/>
      <c r="W285" s="7" t="str">
        <f t="shared" si="8"/>
        <v/>
      </c>
      <c r="X285" s="8" t="str">
        <f t="shared" si="9"/>
        <v/>
      </c>
      <c r="AG285" s="9"/>
      <c r="AH285" s="10"/>
    </row>
    <row r="286" spans="3:34" x14ac:dyDescent="0.35">
      <c r="C286" s="5"/>
      <c r="D286" s="5"/>
      <c r="T286" s="6"/>
      <c r="U286" s="6"/>
      <c r="V286" s="6"/>
      <c r="W286" s="7" t="str">
        <f t="shared" si="8"/>
        <v/>
      </c>
      <c r="X286" s="8" t="str">
        <f t="shared" si="9"/>
        <v/>
      </c>
      <c r="AG286" s="9"/>
      <c r="AH286" s="10"/>
    </row>
    <row r="287" spans="3:34" x14ac:dyDescent="0.35">
      <c r="C287" s="5"/>
      <c r="D287" s="5"/>
      <c r="T287" s="6"/>
      <c r="U287" s="6"/>
      <c r="V287" s="6"/>
      <c r="W287" s="7" t="str">
        <f t="shared" si="8"/>
        <v/>
      </c>
      <c r="X287" s="8" t="str">
        <f t="shared" si="9"/>
        <v/>
      </c>
      <c r="AG287" s="9"/>
      <c r="AH287" s="10"/>
    </row>
    <row r="288" spans="3:34" x14ac:dyDescent="0.35">
      <c r="C288" s="5"/>
      <c r="D288" s="5"/>
      <c r="T288" s="6"/>
      <c r="U288" s="6"/>
      <c r="V288" s="6"/>
      <c r="W288" s="7" t="str">
        <f t="shared" si="8"/>
        <v/>
      </c>
      <c r="X288" s="8" t="str">
        <f t="shared" si="9"/>
        <v/>
      </c>
      <c r="AG288" s="9"/>
      <c r="AH288" s="10"/>
    </row>
    <row r="289" spans="3:34" x14ac:dyDescent="0.35">
      <c r="C289" s="5"/>
      <c r="D289" s="5"/>
      <c r="T289" s="6"/>
      <c r="U289" s="6"/>
      <c r="V289" s="6"/>
      <c r="W289" s="7" t="str">
        <f t="shared" si="8"/>
        <v/>
      </c>
      <c r="X289" s="8" t="str">
        <f t="shared" si="9"/>
        <v/>
      </c>
      <c r="AG289" s="9"/>
      <c r="AH289" s="10"/>
    </row>
    <row r="290" spans="3:34" x14ac:dyDescent="0.35">
      <c r="C290" s="5"/>
      <c r="D290" s="5"/>
      <c r="T290" s="6"/>
      <c r="U290" s="6"/>
      <c r="V290" s="6"/>
      <c r="W290" s="7" t="str">
        <f t="shared" si="8"/>
        <v/>
      </c>
      <c r="X290" s="8" t="str">
        <f t="shared" si="9"/>
        <v/>
      </c>
      <c r="AG290" s="9"/>
      <c r="AH290" s="10"/>
    </row>
    <row r="291" spans="3:34" x14ac:dyDescent="0.35">
      <c r="C291" s="5"/>
      <c r="D291" s="5"/>
      <c r="T291" s="6"/>
      <c r="U291" s="6"/>
      <c r="V291" s="6"/>
      <c r="W291" s="7" t="str">
        <f t="shared" si="8"/>
        <v/>
      </c>
      <c r="X291" s="8" t="str">
        <f t="shared" si="9"/>
        <v/>
      </c>
      <c r="AG291" s="9"/>
      <c r="AH291" s="10"/>
    </row>
    <row r="292" spans="3:34" x14ac:dyDescent="0.35">
      <c r="C292" s="5"/>
      <c r="D292" s="5"/>
      <c r="T292" s="6"/>
      <c r="U292" s="6"/>
      <c r="V292" s="6"/>
      <c r="W292" s="7" t="str">
        <f t="shared" si="8"/>
        <v/>
      </c>
      <c r="X292" s="8" t="str">
        <f t="shared" si="9"/>
        <v/>
      </c>
      <c r="AG292" s="9"/>
      <c r="AH292" s="10"/>
    </row>
    <row r="293" spans="3:34" x14ac:dyDescent="0.35">
      <c r="C293" s="5"/>
      <c r="D293" s="5"/>
      <c r="T293" s="6"/>
      <c r="U293" s="6"/>
      <c r="V293" s="6"/>
      <c r="W293" s="7" t="str">
        <f t="shared" si="8"/>
        <v/>
      </c>
      <c r="X293" s="8" t="str">
        <f t="shared" si="9"/>
        <v/>
      </c>
      <c r="AG293" s="9"/>
      <c r="AH293" s="10"/>
    </row>
    <row r="294" spans="3:34" x14ac:dyDescent="0.35">
      <c r="C294" s="5"/>
      <c r="D294" s="5"/>
      <c r="T294" s="6"/>
      <c r="U294" s="6"/>
      <c r="V294" s="6"/>
      <c r="W294" s="7" t="str">
        <f t="shared" si="8"/>
        <v/>
      </c>
      <c r="X294" s="8" t="str">
        <f t="shared" si="9"/>
        <v/>
      </c>
      <c r="AG294" s="9"/>
      <c r="AH294" s="10"/>
    </row>
    <row r="295" spans="3:34" x14ac:dyDescent="0.35">
      <c r="C295" s="5"/>
      <c r="D295" s="5"/>
      <c r="T295" s="6"/>
      <c r="U295" s="6"/>
      <c r="V295" s="6"/>
      <c r="W295" s="7" t="str">
        <f t="shared" si="8"/>
        <v/>
      </c>
      <c r="X295" s="8" t="str">
        <f t="shared" si="9"/>
        <v/>
      </c>
      <c r="AG295" s="9"/>
      <c r="AH295" s="10"/>
    </row>
    <row r="296" spans="3:34" x14ac:dyDescent="0.35">
      <c r="C296" s="5"/>
      <c r="D296" s="5"/>
      <c r="T296" s="6"/>
      <c r="U296" s="6"/>
      <c r="V296" s="6"/>
      <c r="W296" s="7" t="str">
        <f t="shared" si="8"/>
        <v/>
      </c>
      <c r="X296" s="8" t="str">
        <f t="shared" si="9"/>
        <v/>
      </c>
      <c r="AG296" s="9"/>
      <c r="AH296" s="10"/>
    </row>
    <row r="297" spans="3:34" x14ac:dyDescent="0.35">
      <c r="C297" s="5"/>
      <c r="D297" s="5"/>
      <c r="T297" s="6"/>
      <c r="U297" s="6"/>
      <c r="V297" s="6"/>
      <c r="W297" s="7" t="str">
        <f t="shared" si="8"/>
        <v/>
      </c>
      <c r="X297" s="8" t="str">
        <f t="shared" si="9"/>
        <v/>
      </c>
      <c r="AG297" s="9"/>
      <c r="AH297" s="10"/>
    </row>
    <row r="298" spans="3:34" x14ac:dyDescent="0.35">
      <c r="C298" s="5"/>
      <c r="D298" s="5"/>
      <c r="T298" s="6"/>
      <c r="U298" s="6"/>
      <c r="V298" s="6"/>
      <c r="W298" s="7" t="str">
        <f t="shared" si="8"/>
        <v/>
      </c>
      <c r="X298" s="8" t="str">
        <f t="shared" si="9"/>
        <v/>
      </c>
      <c r="AG298" s="9"/>
      <c r="AH298" s="10"/>
    </row>
    <row r="299" spans="3:34" x14ac:dyDescent="0.35">
      <c r="C299" s="5"/>
      <c r="D299" s="5"/>
      <c r="T299" s="6"/>
      <c r="U299" s="6"/>
      <c r="V299" s="6"/>
      <c r="W299" s="7" t="str">
        <f t="shared" si="8"/>
        <v/>
      </c>
      <c r="X299" s="8" t="str">
        <f t="shared" si="9"/>
        <v/>
      </c>
      <c r="AG299" s="9"/>
      <c r="AH299" s="10"/>
    </row>
    <row r="300" spans="3:34" x14ac:dyDescent="0.35">
      <c r="C300" s="5"/>
      <c r="D300" s="5"/>
      <c r="T300" s="6"/>
      <c r="U300" s="6"/>
      <c r="V300" s="6"/>
      <c r="W300" s="7" t="str">
        <f t="shared" si="8"/>
        <v/>
      </c>
      <c r="X300" s="8" t="str">
        <f t="shared" si="9"/>
        <v/>
      </c>
      <c r="AG300" s="9"/>
      <c r="AH300" s="10"/>
    </row>
    <row r="301" spans="3:34" x14ac:dyDescent="0.35">
      <c r="C301" s="5"/>
      <c r="D301" s="5"/>
      <c r="T301" s="6"/>
      <c r="U301" s="6"/>
      <c r="V301" s="6"/>
      <c r="W301" s="7" t="str">
        <f t="shared" si="8"/>
        <v/>
      </c>
      <c r="X301" s="8" t="str">
        <f t="shared" si="9"/>
        <v/>
      </c>
      <c r="AG301" s="9"/>
      <c r="AH301" s="10"/>
    </row>
    <row r="302" spans="3:34" x14ac:dyDescent="0.35">
      <c r="C302" s="5"/>
      <c r="D302" s="5"/>
      <c r="T302" s="6"/>
      <c r="U302" s="6"/>
      <c r="V302" s="6"/>
      <c r="W302" s="7" t="str">
        <f t="shared" si="8"/>
        <v/>
      </c>
      <c r="X302" s="8" t="str">
        <f t="shared" si="9"/>
        <v/>
      </c>
      <c r="AG302" s="9"/>
      <c r="AH302" s="10"/>
    </row>
    <row r="303" spans="3:34" x14ac:dyDescent="0.35">
      <c r="C303" s="5"/>
      <c r="D303" s="5"/>
      <c r="T303" s="6"/>
      <c r="U303" s="6"/>
      <c r="V303" s="6"/>
      <c r="W303" s="7" t="str">
        <f t="shared" si="8"/>
        <v/>
      </c>
      <c r="X303" s="8" t="str">
        <f t="shared" si="9"/>
        <v/>
      </c>
      <c r="AG303" s="9"/>
      <c r="AH303" s="10"/>
    </row>
    <row r="304" spans="3:34" x14ac:dyDescent="0.35">
      <c r="C304" s="5"/>
      <c r="D304" s="5"/>
      <c r="T304" s="6"/>
      <c r="U304" s="6"/>
      <c r="V304" s="6"/>
      <c r="W304" s="7" t="str">
        <f t="shared" si="8"/>
        <v/>
      </c>
      <c r="X304" s="8" t="str">
        <f t="shared" si="9"/>
        <v/>
      </c>
      <c r="AG304" s="9"/>
      <c r="AH304" s="10"/>
    </row>
    <row r="305" spans="3:34" x14ac:dyDescent="0.35">
      <c r="C305" s="5"/>
      <c r="D305" s="5"/>
      <c r="T305" s="6"/>
      <c r="U305" s="6"/>
      <c r="V305" s="6"/>
      <c r="W305" s="7" t="str">
        <f t="shared" si="8"/>
        <v/>
      </c>
      <c r="X305" s="8" t="str">
        <f t="shared" si="9"/>
        <v/>
      </c>
      <c r="AG305" s="9"/>
      <c r="AH305" s="10"/>
    </row>
    <row r="306" spans="3:34" x14ac:dyDescent="0.35">
      <c r="C306" s="5"/>
      <c r="D306" s="5"/>
      <c r="T306" s="6"/>
      <c r="U306" s="6"/>
      <c r="V306" s="6"/>
      <c r="W306" s="7" t="str">
        <f t="shared" si="8"/>
        <v/>
      </c>
      <c r="X306" s="8" t="str">
        <f t="shared" si="9"/>
        <v/>
      </c>
      <c r="AG306" s="9"/>
      <c r="AH306" s="10"/>
    </row>
    <row r="307" spans="3:34" x14ac:dyDescent="0.35">
      <c r="C307" s="5"/>
      <c r="D307" s="5"/>
      <c r="T307" s="6"/>
      <c r="U307" s="6"/>
      <c r="V307" s="6"/>
      <c r="W307" s="7" t="str">
        <f t="shared" si="8"/>
        <v/>
      </c>
      <c r="X307" s="8" t="str">
        <f t="shared" si="9"/>
        <v/>
      </c>
      <c r="AG307" s="9"/>
      <c r="AH307" s="10"/>
    </row>
    <row r="308" spans="3:34" x14ac:dyDescent="0.35">
      <c r="C308" s="5"/>
      <c r="D308" s="5"/>
      <c r="T308" s="6"/>
      <c r="U308" s="6"/>
      <c r="V308" s="6"/>
      <c r="W308" s="7" t="str">
        <f t="shared" si="8"/>
        <v/>
      </c>
      <c r="X308" s="8" t="str">
        <f t="shared" si="9"/>
        <v/>
      </c>
      <c r="AG308" s="9"/>
      <c r="AH308" s="10"/>
    </row>
    <row r="309" spans="3:34" x14ac:dyDescent="0.35">
      <c r="C309" s="5"/>
      <c r="D309" s="5"/>
      <c r="T309" s="6"/>
      <c r="U309" s="6"/>
      <c r="V309" s="6"/>
      <c r="W309" s="7" t="str">
        <f t="shared" si="8"/>
        <v/>
      </c>
      <c r="X309" s="8" t="str">
        <f t="shared" si="9"/>
        <v/>
      </c>
      <c r="AG309" s="9"/>
      <c r="AH309" s="10"/>
    </row>
    <row r="310" spans="3:34" x14ac:dyDescent="0.35">
      <c r="C310" s="5"/>
      <c r="D310" s="5"/>
      <c r="T310" s="6"/>
      <c r="U310" s="6"/>
      <c r="V310" s="6"/>
      <c r="W310" s="7" t="str">
        <f t="shared" si="8"/>
        <v/>
      </c>
      <c r="X310" s="8" t="str">
        <f t="shared" si="9"/>
        <v/>
      </c>
      <c r="AG310" s="9"/>
      <c r="AH310" s="10"/>
    </row>
    <row r="311" spans="3:34" x14ac:dyDescent="0.35">
      <c r="C311" s="5"/>
      <c r="D311" s="5"/>
      <c r="T311" s="6"/>
      <c r="U311" s="6"/>
      <c r="V311" s="6"/>
      <c r="W311" s="7" t="str">
        <f t="shared" si="8"/>
        <v/>
      </c>
      <c r="X311" s="8" t="str">
        <f t="shared" si="9"/>
        <v/>
      </c>
      <c r="AG311" s="9"/>
      <c r="AH311" s="10"/>
    </row>
    <row r="312" spans="3:34" x14ac:dyDescent="0.35">
      <c r="C312" s="5"/>
      <c r="D312" s="5"/>
      <c r="T312" s="6"/>
      <c r="U312" s="6"/>
      <c r="V312" s="6"/>
      <c r="W312" s="7" t="str">
        <f t="shared" si="8"/>
        <v/>
      </c>
      <c r="X312" s="8" t="str">
        <f t="shared" si="9"/>
        <v/>
      </c>
      <c r="AG312" s="9"/>
      <c r="AH312" s="10"/>
    </row>
    <row r="313" spans="3:34" x14ac:dyDescent="0.35">
      <c r="C313" s="5"/>
      <c r="D313" s="5"/>
      <c r="T313" s="6"/>
      <c r="U313" s="6"/>
      <c r="V313" s="6"/>
      <c r="W313" s="7" t="str">
        <f t="shared" si="8"/>
        <v/>
      </c>
      <c r="X313" s="8" t="str">
        <f t="shared" si="9"/>
        <v/>
      </c>
      <c r="AG313" s="9"/>
      <c r="AH313" s="10"/>
    </row>
    <row r="314" spans="3:34" x14ac:dyDescent="0.35">
      <c r="C314" s="5"/>
      <c r="D314" s="5"/>
      <c r="T314" s="6"/>
      <c r="U314" s="6"/>
      <c r="V314" s="6"/>
      <c r="W314" s="7" t="str">
        <f t="shared" si="8"/>
        <v/>
      </c>
      <c r="X314" s="8" t="str">
        <f t="shared" si="9"/>
        <v/>
      </c>
      <c r="AG314" s="9"/>
      <c r="AH314" s="10"/>
    </row>
    <row r="315" spans="3:34" x14ac:dyDescent="0.35">
      <c r="C315" s="5"/>
      <c r="D315" s="5"/>
      <c r="T315" s="6"/>
      <c r="U315" s="6"/>
      <c r="V315" s="6"/>
      <c r="W315" s="7" t="str">
        <f t="shared" si="8"/>
        <v/>
      </c>
      <c r="X315" s="8" t="str">
        <f t="shared" si="9"/>
        <v/>
      </c>
      <c r="AG315" s="9"/>
      <c r="AH315" s="10"/>
    </row>
    <row r="316" spans="3:34" x14ac:dyDescent="0.35">
      <c r="C316" s="5"/>
      <c r="D316" s="5"/>
      <c r="T316" s="6"/>
      <c r="U316" s="6"/>
      <c r="V316" s="6"/>
      <c r="W316" s="7" t="str">
        <f t="shared" si="8"/>
        <v/>
      </c>
      <c r="X316" s="8" t="str">
        <f t="shared" si="9"/>
        <v/>
      </c>
      <c r="AG316" s="9"/>
      <c r="AH316" s="10"/>
    </row>
    <row r="317" spans="3:34" x14ac:dyDescent="0.35">
      <c r="C317" s="5"/>
      <c r="D317" s="5"/>
      <c r="T317" s="6"/>
      <c r="U317" s="6"/>
      <c r="V317" s="6"/>
      <c r="W317" s="7" t="str">
        <f t="shared" si="8"/>
        <v/>
      </c>
      <c r="X317" s="8" t="str">
        <f t="shared" si="9"/>
        <v/>
      </c>
      <c r="AG317" s="9"/>
      <c r="AH317" s="10"/>
    </row>
    <row r="318" spans="3:34" x14ac:dyDescent="0.35">
      <c r="C318" s="5"/>
      <c r="D318" s="5"/>
      <c r="T318" s="6"/>
      <c r="U318" s="6"/>
      <c r="V318" s="6"/>
      <c r="W318" s="7" t="str">
        <f t="shared" si="8"/>
        <v/>
      </c>
      <c r="X318" s="8" t="str">
        <f t="shared" si="9"/>
        <v/>
      </c>
      <c r="AG318" s="9"/>
      <c r="AH318" s="10"/>
    </row>
    <row r="319" spans="3:34" x14ac:dyDescent="0.35">
      <c r="C319" s="5"/>
      <c r="D319" s="5"/>
      <c r="T319" s="6"/>
      <c r="U319" s="6"/>
      <c r="V319" s="6"/>
      <c r="W319" s="7" t="str">
        <f t="shared" si="8"/>
        <v/>
      </c>
      <c r="X319" s="8" t="str">
        <f t="shared" si="9"/>
        <v/>
      </c>
      <c r="AG319" s="9"/>
      <c r="AH319" s="10"/>
    </row>
    <row r="320" spans="3:34" x14ac:dyDescent="0.35">
      <c r="C320" s="5"/>
      <c r="D320" s="5"/>
      <c r="T320" s="6"/>
      <c r="U320" s="6"/>
      <c r="V320" s="6"/>
      <c r="W320" s="7" t="str">
        <f t="shared" si="8"/>
        <v/>
      </c>
      <c r="X320" s="8" t="str">
        <f t="shared" si="9"/>
        <v/>
      </c>
      <c r="AG320" s="9"/>
      <c r="AH320" s="10"/>
    </row>
    <row r="321" spans="3:34" x14ac:dyDescent="0.35">
      <c r="C321" s="5"/>
      <c r="D321" s="5"/>
      <c r="T321" s="6"/>
      <c r="U321" s="6"/>
      <c r="V321" s="6"/>
      <c r="W321" s="7" t="str">
        <f t="shared" si="8"/>
        <v/>
      </c>
      <c r="X321" s="8" t="str">
        <f t="shared" si="9"/>
        <v/>
      </c>
      <c r="AG321" s="9"/>
      <c r="AH321" s="10"/>
    </row>
    <row r="322" spans="3:34" x14ac:dyDescent="0.35">
      <c r="C322" s="5"/>
      <c r="D322" s="5"/>
      <c r="T322" s="6"/>
      <c r="U322" s="6"/>
      <c r="V322" s="6"/>
      <c r="W322" s="7" t="str">
        <f t="shared" ref="W322:W385" si="10">IF($U322&gt;0,$U322-$V322,"")</f>
        <v/>
      </c>
      <c r="X322" s="8" t="str">
        <f t="shared" ref="X322:X385" si="11">IF($U322&gt;0,($U322-$V322)/$U322,"")</f>
        <v/>
      </c>
      <c r="AG322" s="9"/>
      <c r="AH322" s="10"/>
    </row>
    <row r="323" spans="3:34" x14ac:dyDescent="0.35">
      <c r="C323" s="5"/>
      <c r="D323" s="5"/>
      <c r="T323" s="6"/>
      <c r="U323" s="6"/>
      <c r="V323" s="6"/>
      <c r="W323" s="7" t="str">
        <f t="shared" si="10"/>
        <v/>
      </c>
      <c r="X323" s="8" t="str">
        <f t="shared" si="11"/>
        <v/>
      </c>
      <c r="AG323" s="9"/>
      <c r="AH323" s="10"/>
    </row>
    <row r="324" spans="3:34" x14ac:dyDescent="0.35">
      <c r="C324" s="5"/>
      <c r="D324" s="5"/>
      <c r="T324" s="6"/>
      <c r="U324" s="6"/>
      <c r="V324" s="6"/>
      <c r="W324" s="7" t="str">
        <f t="shared" si="10"/>
        <v/>
      </c>
      <c r="X324" s="8" t="str">
        <f t="shared" si="11"/>
        <v/>
      </c>
      <c r="AG324" s="9"/>
      <c r="AH324" s="10"/>
    </row>
    <row r="325" spans="3:34" x14ac:dyDescent="0.35">
      <c r="C325" s="5"/>
      <c r="D325" s="5"/>
      <c r="T325" s="6"/>
      <c r="U325" s="6"/>
      <c r="V325" s="6"/>
      <c r="W325" s="7" t="str">
        <f t="shared" si="10"/>
        <v/>
      </c>
      <c r="X325" s="8" t="str">
        <f t="shared" si="11"/>
        <v/>
      </c>
      <c r="AG325" s="9"/>
      <c r="AH325" s="10"/>
    </row>
    <row r="326" spans="3:34" x14ac:dyDescent="0.35">
      <c r="C326" s="5"/>
      <c r="D326" s="5"/>
      <c r="T326" s="6"/>
      <c r="U326" s="6"/>
      <c r="V326" s="6"/>
      <c r="W326" s="7" t="str">
        <f t="shared" si="10"/>
        <v/>
      </c>
      <c r="X326" s="8" t="str">
        <f t="shared" si="11"/>
        <v/>
      </c>
      <c r="AG326" s="9"/>
      <c r="AH326" s="10"/>
    </row>
    <row r="327" spans="3:34" x14ac:dyDescent="0.35">
      <c r="C327" s="5"/>
      <c r="D327" s="5"/>
      <c r="T327" s="6"/>
      <c r="U327" s="6"/>
      <c r="V327" s="6"/>
      <c r="W327" s="7" t="str">
        <f t="shared" si="10"/>
        <v/>
      </c>
      <c r="X327" s="8" t="str">
        <f t="shared" si="11"/>
        <v/>
      </c>
      <c r="AG327" s="9"/>
      <c r="AH327" s="10"/>
    </row>
    <row r="328" spans="3:34" x14ac:dyDescent="0.35">
      <c r="C328" s="5"/>
      <c r="D328" s="5"/>
      <c r="T328" s="6"/>
      <c r="U328" s="6"/>
      <c r="V328" s="6"/>
      <c r="W328" s="7" t="str">
        <f t="shared" si="10"/>
        <v/>
      </c>
      <c r="X328" s="8" t="str">
        <f t="shared" si="11"/>
        <v/>
      </c>
      <c r="AG328" s="9"/>
      <c r="AH328" s="10"/>
    </row>
    <row r="329" spans="3:34" x14ac:dyDescent="0.35">
      <c r="C329" s="5"/>
      <c r="D329" s="5"/>
      <c r="T329" s="6"/>
      <c r="U329" s="6"/>
      <c r="V329" s="6"/>
      <c r="W329" s="7" t="str">
        <f t="shared" si="10"/>
        <v/>
      </c>
      <c r="X329" s="8" t="str">
        <f t="shared" si="11"/>
        <v/>
      </c>
      <c r="AG329" s="9"/>
      <c r="AH329" s="10"/>
    </row>
    <row r="330" spans="3:34" x14ac:dyDescent="0.35">
      <c r="C330" s="5"/>
      <c r="D330" s="5"/>
      <c r="T330" s="6"/>
      <c r="U330" s="6"/>
      <c r="V330" s="6"/>
      <c r="W330" s="7" t="str">
        <f t="shared" si="10"/>
        <v/>
      </c>
      <c r="X330" s="8" t="str">
        <f t="shared" si="11"/>
        <v/>
      </c>
      <c r="AG330" s="9"/>
      <c r="AH330" s="10"/>
    </row>
    <row r="331" spans="3:34" x14ac:dyDescent="0.35">
      <c r="C331" s="5"/>
      <c r="D331" s="5"/>
      <c r="T331" s="6"/>
      <c r="U331" s="6"/>
      <c r="V331" s="6"/>
      <c r="W331" s="7" t="str">
        <f t="shared" si="10"/>
        <v/>
      </c>
      <c r="X331" s="8" t="str">
        <f t="shared" si="11"/>
        <v/>
      </c>
      <c r="AG331" s="9"/>
      <c r="AH331" s="10"/>
    </row>
    <row r="332" spans="3:34" x14ac:dyDescent="0.35">
      <c r="C332" s="5"/>
      <c r="D332" s="5"/>
      <c r="T332" s="6"/>
      <c r="U332" s="6"/>
      <c r="V332" s="6"/>
      <c r="W332" s="7" t="str">
        <f t="shared" si="10"/>
        <v/>
      </c>
      <c r="X332" s="8" t="str">
        <f t="shared" si="11"/>
        <v/>
      </c>
      <c r="AG332" s="9"/>
      <c r="AH332" s="10"/>
    </row>
    <row r="333" spans="3:34" x14ac:dyDescent="0.35">
      <c r="C333" s="5"/>
      <c r="D333" s="5"/>
      <c r="T333" s="6"/>
      <c r="U333" s="6"/>
      <c r="V333" s="6"/>
      <c r="W333" s="7" t="str">
        <f t="shared" si="10"/>
        <v/>
      </c>
      <c r="X333" s="8" t="str">
        <f t="shared" si="11"/>
        <v/>
      </c>
      <c r="AG333" s="9"/>
      <c r="AH333" s="10"/>
    </row>
    <row r="334" spans="3:34" x14ac:dyDescent="0.35">
      <c r="C334" s="5"/>
      <c r="D334" s="5"/>
      <c r="T334" s="6"/>
      <c r="U334" s="6"/>
      <c r="V334" s="6"/>
      <c r="W334" s="7" t="str">
        <f t="shared" si="10"/>
        <v/>
      </c>
      <c r="X334" s="8" t="str">
        <f t="shared" si="11"/>
        <v/>
      </c>
      <c r="AG334" s="9"/>
      <c r="AH334" s="10"/>
    </row>
    <row r="335" spans="3:34" x14ac:dyDescent="0.35">
      <c r="C335" s="5"/>
      <c r="D335" s="5"/>
      <c r="T335" s="6"/>
      <c r="U335" s="6"/>
      <c r="V335" s="6"/>
      <c r="W335" s="7" t="str">
        <f t="shared" si="10"/>
        <v/>
      </c>
      <c r="X335" s="8" t="str">
        <f t="shared" si="11"/>
        <v/>
      </c>
      <c r="AG335" s="9"/>
      <c r="AH335" s="10"/>
    </row>
    <row r="336" spans="3:34" x14ac:dyDescent="0.35">
      <c r="C336" s="5"/>
      <c r="D336" s="5"/>
      <c r="T336" s="6"/>
      <c r="U336" s="6"/>
      <c r="V336" s="6"/>
      <c r="W336" s="7" t="str">
        <f t="shared" si="10"/>
        <v/>
      </c>
      <c r="X336" s="8" t="str">
        <f t="shared" si="11"/>
        <v/>
      </c>
      <c r="AG336" s="9"/>
      <c r="AH336" s="10"/>
    </row>
    <row r="337" spans="3:34" x14ac:dyDescent="0.35">
      <c r="C337" s="5"/>
      <c r="D337" s="5"/>
      <c r="T337" s="6"/>
      <c r="U337" s="6"/>
      <c r="V337" s="6"/>
      <c r="W337" s="7" t="str">
        <f t="shared" si="10"/>
        <v/>
      </c>
      <c r="X337" s="8" t="str">
        <f t="shared" si="11"/>
        <v/>
      </c>
      <c r="AG337" s="9"/>
      <c r="AH337" s="10"/>
    </row>
    <row r="338" spans="3:34" x14ac:dyDescent="0.35">
      <c r="C338" s="5"/>
      <c r="D338" s="5"/>
      <c r="T338" s="6"/>
      <c r="U338" s="6"/>
      <c r="V338" s="6"/>
      <c r="W338" s="7" t="str">
        <f t="shared" si="10"/>
        <v/>
      </c>
      <c r="X338" s="8" t="str">
        <f t="shared" si="11"/>
        <v/>
      </c>
      <c r="AG338" s="9"/>
      <c r="AH338" s="10"/>
    </row>
    <row r="339" spans="3:34" x14ac:dyDescent="0.35">
      <c r="C339" s="5"/>
      <c r="D339" s="5"/>
      <c r="T339" s="6"/>
      <c r="U339" s="6"/>
      <c r="V339" s="6"/>
      <c r="W339" s="7" t="str">
        <f t="shared" si="10"/>
        <v/>
      </c>
      <c r="X339" s="8" t="str">
        <f t="shared" si="11"/>
        <v/>
      </c>
      <c r="AG339" s="9"/>
      <c r="AH339" s="10"/>
    </row>
    <row r="340" spans="3:34" x14ac:dyDescent="0.35">
      <c r="C340" s="5"/>
      <c r="D340" s="5"/>
      <c r="T340" s="6"/>
      <c r="U340" s="6"/>
      <c r="V340" s="6"/>
      <c r="W340" s="7" t="str">
        <f t="shared" si="10"/>
        <v/>
      </c>
      <c r="X340" s="8" t="str">
        <f t="shared" si="11"/>
        <v/>
      </c>
      <c r="AG340" s="9"/>
      <c r="AH340" s="10"/>
    </row>
    <row r="341" spans="3:34" x14ac:dyDescent="0.35">
      <c r="C341" s="5"/>
      <c r="D341" s="5"/>
      <c r="T341" s="6"/>
      <c r="U341" s="6"/>
      <c r="V341" s="6"/>
      <c r="W341" s="7" t="str">
        <f t="shared" si="10"/>
        <v/>
      </c>
      <c r="X341" s="8" t="str">
        <f t="shared" si="11"/>
        <v/>
      </c>
      <c r="AG341" s="9"/>
      <c r="AH341" s="10"/>
    </row>
    <row r="342" spans="3:34" x14ac:dyDescent="0.35">
      <c r="C342" s="5"/>
      <c r="D342" s="5"/>
      <c r="T342" s="6"/>
      <c r="U342" s="6"/>
      <c r="V342" s="6"/>
      <c r="W342" s="7" t="str">
        <f t="shared" si="10"/>
        <v/>
      </c>
      <c r="X342" s="8" t="str">
        <f t="shared" si="11"/>
        <v/>
      </c>
      <c r="AG342" s="9"/>
      <c r="AH342" s="10"/>
    </row>
    <row r="343" spans="3:34" x14ac:dyDescent="0.35">
      <c r="C343" s="5"/>
      <c r="D343" s="5"/>
      <c r="T343" s="6"/>
      <c r="U343" s="6"/>
      <c r="V343" s="6"/>
      <c r="W343" s="7" t="str">
        <f t="shared" si="10"/>
        <v/>
      </c>
      <c r="X343" s="8" t="str">
        <f t="shared" si="11"/>
        <v/>
      </c>
      <c r="AG343" s="9"/>
      <c r="AH343" s="10"/>
    </row>
    <row r="344" spans="3:34" x14ac:dyDescent="0.35">
      <c r="C344" s="5"/>
      <c r="D344" s="5"/>
      <c r="T344" s="6"/>
      <c r="U344" s="6"/>
      <c r="V344" s="6"/>
      <c r="W344" s="7" t="str">
        <f t="shared" si="10"/>
        <v/>
      </c>
      <c r="X344" s="8" t="str">
        <f t="shared" si="11"/>
        <v/>
      </c>
      <c r="AG344" s="9"/>
      <c r="AH344" s="10"/>
    </row>
    <row r="345" spans="3:34" x14ac:dyDescent="0.35">
      <c r="C345" s="5"/>
      <c r="D345" s="5"/>
      <c r="T345" s="6"/>
      <c r="U345" s="6"/>
      <c r="V345" s="6"/>
      <c r="W345" s="7" t="str">
        <f t="shared" si="10"/>
        <v/>
      </c>
      <c r="X345" s="8" t="str">
        <f t="shared" si="11"/>
        <v/>
      </c>
      <c r="AG345" s="9"/>
      <c r="AH345" s="10"/>
    </row>
    <row r="346" spans="3:34" x14ac:dyDescent="0.35">
      <c r="C346" s="5"/>
      <c r="D346" s="5"/>
      <c r="T346" s="6"/>
      <c r="U346" s="6"/>
      <c r="V346" s="6"/>
      <c r="W346" s="7" t="str">
        <f t="shared" si="10"/>
        <v/>
      </c>
      <c r="X346" s="8" t="str">
        <f t="shared" si="11"/>
        <v/>
      </c>
      <c r="AG346" s="9"/>
      <c r="AH346" s="10"/>
    </row>
    <row r="347" spans="3:34" x14ac:dyDescent="0.35">
      <c r="C347" s="5"/>
      <c r="D347" s="5"/>
      <c r="T347" s="6"/>
      <c r="U347" s="6"/>
      <c r="V347" s="6"/>
      <c r="W347" s="7" t="str">
        <f t="shared" si="10"/>
        <v/>
      </c>
      <c r="X347" s="8" t="str">
        <f t="shared" si="11"/>
        <v/>
      </c>
      <c r="AG347" s="9"/>
      <c r="AH347" s="10"/>
    </row>
    <row r="348" spans="3:34" x14ac:dyDescent="0.35">
      <c r="C348" s="5"/>
      <c r="D348" s="5"/>
      <c r="T348" s="6"/>
      <c r="U348" s="6"/>
      <c r="V348" s="6"/>
      <c r="W348" s="7" t="str">
        <f t="shared" si="10"/>
        <v/>
      </c>
      <c r="X348" s="8" t="str">
        <f t="shared" si="11"/>
        <v/>
      </c>
      <c r="AG348" s="9"/>
      <c r="AH348" s="10"/>
    </row>
    <row r="349" spans="3:34" x14ac:dyDescent="0.35">
      <c r="C349" s="5"/>
      <c r="D349" s="5"/>
      <c r="T349" s="6"/>
      <c r="U349" s="6"/>
      <c r="V349" s="6"/>
      <c r="W349" s="7" t="str">
        <f t="shared" si="10"/>
        <v/>
      </c>
      <c r="X349" s="8" t="str">
        <f t="shared" si="11"/>
        <v/>
      </c>
      <c r="AG349" s="9"/>
      <c r="AH349" s="10"/>
    </row>
    <row r="350" spans="3:34" x14ac:dyDescent="0.35">
      <c r="C350" s="5"/>
      <c r="D350" s="5"/>
      <c r="T350" s="6"/>
      <c r="U350" s="6"/>
      <c r="V350" s="6"/>
      <c r="W350" s="7" t="str">
        <f t="shared" si="10"/>
        <v/>
      </c>
      <c r="X350" s="8" t="str">
        <f t="shared" si="11"/>
        <v/>
      </c>
      <c r="AG350" s="9"/>
      <c r="AH350" s="10"/>
    </row>
    <row r="351" spans="3:34" x14ac:dyDescent="0.35">
      <c r="C351" s="5"/>
      <c r="D351" s="5"/>
      <c r="T351" s="6"/>
      <c r="U351" s="6"/>
      <c r="V351" s="6"/>
      <c r="W351" s="7" t="str">
        <f t="shared" si="10"/>
        <v/>
      </c>
      <c r="X351" s="8" t="str">
        <f t="shared" si="11"/>
        <v/>
      </c>
      <c r="AG351" s="9"/>
      <c r="AH351" s="10"/>
    </row>
    <row r="352" spans="3:34" x14ac:dyDescent="0.35">
      <c r="C352" s="5"/>
      <c r="D352" s="5"/>
      <c r="T352" s="6"/>
      <c r="U352" s="6"/>
      <c r="V352" s="6"/>
      <c r="W352" s="7" t="str">
        <f t="shared" si="10"/>
        <v/>
      </c>
      <c r="X352" s="8" t="str">
        <f t="shared" si="11"/>
        <v/>
      </c>
      <c r="AG352" s="9"/>
      <c r="AH352" s="10"/>
    </row>
    <row r="353" spans="3:34" x14ac:dyDescent="0.35">
      <c r="C353" s="5"/>
      <c r="D353" s="5"/>
      <c r="T353" s="6"/>
      <c r="U353" s="6"/>
      <c r="V353" s="6"/>
      <c r="W353" s="7" t="str">
        <f t="shared" si="10"/>
        <v/>
      </c>
      <c r="X353" s="8" t="str">
        <f t="shared" si="11"/>
        <v/>
      </c>
      <c r="AG353" s="9"/>
      <c r="AH353" s="10"/>
    </row>
    <row r="354" spans="3:34" x14ac:dyDescent="0.35">
      <c r="C354" s="5"/>
      <c r="D354" s="5"/>
      <c r="T354" s="6"/>
      <c r="U354" s="6"/>
      <c r="V354" s="6"/>
      <c r="W354" s="7" t="str">
        <f t="shared" si="10"/>
        <v/>
      </c>
      <c r="X354" s="8" t="str">
        <f t="shared" si="11"/>
        <v/>
      </c>
      <c r="AG354" s="9"/>
      <c r="AH354" s="10"/>
    </row>
    <row r="355" spans="3:34" x14ac:dyDescent="0.35">
      <c r="C355" s="5"/>
      <c r="D355" s="5"/>
      <c r="T355" s="6"/>
      <c r="U355" s="6"/>
      <c r="V355" s="6"/>
      <c r="W355" s="7" t="str">
        <f t="shared" si="10"/>
        <v/>
      </c>
      <c r="X355" s="8" t="str">
        <f t="shared" si="11"/>
        <v/>
      </c>
      <c r="AG355" s="9"/>
      <c r="AH355" s="10"/>
    </row>
    <row r="356" spans="3:34" x14ac:dyDescent="0.35">
      <c r="C356" s="5"/>
      <c r="D356" s="5"/>
      <c r="T356" s="6"/>
      <c r="U356" s="6"/>
      <c r="V356" s="6"/>
      <c r="W356" s="7" t="str">
        <f t="shared" si="10"/>
        <v/>
      </c>
      <c r="X356" s="8" t="str">
        <f t="shared" si="11"/>
        <v/>
      </c>
      <c r="AG356" s="9"/>
      <c r="AH356" s="10"/>
    </row>
    <row r="357" spans="3:34" x14ac:dyDescent="0.35">
      <c r="C357" s="5"/>
      <c r="D357" s="5"/>
      <c r="T357" s="6"/>
      <c r="U357" s="6"/>
      <c r="V357" s="6"/>
      <c r="W357" s="7" t="str">
        <f t="shared" si="10"/>
        <v/>
      </c>
      <c r="X357" s="8" t="str">
        <f t="shared" si="11"/>
        <v/>
      </c>
      <c r="AG357" s="9"/>
      <c r="AH357" s="10"/>
    </row>
    <row r="358" spans="3:34" x14ac:dyDescent="0.35">
      <c r="C358" s="5"/>
      <c r="D358" s="5"/>
      <c r="T358" s="6"/>
      <c r="U358" s="6"/>
      <c r="V358" s="6"/>
      <c r="W358" s="7" t="str">
        <f t="shared" si="10"/>
        <v/>
      </c>
      <c r="X358" s="8" t="str">
        <f t="shared" si="11"/>
        <v/>
      </c>
      <c r="AG358" s="9"/>
      <c r="AH358" s="10"/>
    </row>
    <row r="359" spans="3:34" x14ac:dyDescent="0.35">
      <c r="C359" s="5"/>
      <c r="D359" s="5"/>
      <c r="T359" s="6"/>
      <c r="U359" s="6"/>
      <c r="V359" s="6"/>
      <c r="W359" s="7" t="str">
        <f t="shared" si="10"/>
        <v/>
      </c>
      <c r="X359" s="8" t="str">
        <f t="shared" si="11"/>
        <v/>
      </c>
      <c r="AG359" s="9"/>
      <c r="AH359" s="10"/>
    </row>
    <row r="360" spans="3:34" x14ac:dyDescent="0.35">
      <c r="C360" s="5"/>
      <c r="D360" s="5"/>
      <c r="T360" s="6"/>
      <c r="U360" s="6"/>
      <c r="V360" s="6"/>
      <c r="W360" s="7" t="str">
        <f t="shared" si="10"/>
        <v/>
      </c>
      <c r="X360" s="8" t="str">
        <f t="shared" si="11"/>
        <v/>
      </c>
      <c r="AG360" s="9"/>
      <c r="AH360" s="10"/>
    </row>
    <row r="361" spans="3:34" x14ac:dyDescent="0.35">
      <c r="C361" s="5"/>
      <c r="D361" s="5"/>
      <c r="T361" s="6"/>
      <c r="U361" s="6"/>
      <c r="V361" s="6"/>
      <c r="W361" s="7" t="str">
        <f t="shared" si="10"/>
        <v/>
      </c>
      <c r="X361" s="8" t="str">
        <f t="shared" si="11"/>
        <v/>
      </c>
      <c r="AG361" s="9"/>
      <c r="AH361" s="10"/>
    </row>
    <row r="362" spans="3:34" x14ac:dyDescent="0.35">
      <c r="C362" s="5"/>
      <c r="D362" s="5"/>
      <c r="T362" s="6"/>
      <c r="U362" s="6"/>
      <c r="V362" s="6"/>
      <c r="W362" s="7" t="str">
        <f t="shared" si="10"/>
        <v/>
      </c>
      <c r="X362" s="8" t="str">
        <f t="shared" si="11"/>
        <v/>
      </c>
      <c r="AG362" s="9"/>
      <c r="AH362" s="10"/>
    </row>
    <row r="363" spans="3:34" x14ac:dyDescent="0.35">
      <c r="C363" s="5"/>
      <c r="D363" s="5"/>
      <c r="T363" s="6"/>
      <c r="U363" s="6"/>
      <c r="V363" s="6"/>
      <c r="W363" s="7" t="str">
        <f t="shared" si="10"/>
        <v/>
      </c>
      <c r="X363" s="8" t="str">
        <f t="shared" si="11"/>
        <v/>
      </c>
      <c r="AG363" s="9"/>
      <c r="AH363" s="10"/>
    </row>
    <row r="364" spans="3:34" x14ac:dyDescent="0.35">
      <c r="C364" s="5"/>
      <c r="D364" s="5"/>
      <c r="T364" s="6"/>
      <c r="U364" s="6"/>
      <c r="V364" s="6"/>
      <c r="W364" s="7" t="str">
        <f t="shared" si="10"/>
        <v/>
      </c>
      <c r="X364" s="8" t="str">
        <f t="shared" si="11"/>
        <v/>
      </c>
      <c r="AG364" s="9"/>
      <c r="AH364" s="10"/>
    </row>
    <row r="365" spans="3:34" x14ac:dyDescent="0.35">
      <c r="C365" s="5"/>
      <c r="D365" s="5"/>
      <c r="T365" s="6"/>
      <c r="U365" s="6"/>
      <c r="V365" s="6"/>
      <c r="W365" s="7" t="str">
        <f t="shared" si="10"/>
        <v/>
      </c>
      <c r="X365" s="8" t="str">
        <f t="shared" si="11"/>
        <v/>
      </c>
      <c r="AG365" s="9"/>
      <c r="AH365" s="10"/>
    </row>
    <row r="366" spans="3:34" x14ac:dyDescent="0.35">
      <c r="C366" s="5"/>
      <c r="D366" s="5"/>
      <c r="T366" s="6"/>
      <c r="U366" s="6"/>
      <c r="V366" s="6"/>
      <c r="W366" s="7" t="str">
        <f t="shared" si="10"/>
        <v/>
      </c>
      <c r="X366" s="8" t="str">
        <f t="shared" si="11"/>
        <v/>
      </c>
      <c r="AG366" s="9"/>
      <c r="AH366" s="10"/>
    </row>
    <row r="367" spans="3:34" x14ac:dyDescent="0.35">
      <c r="C367" s="5"/>
      <c r="D367" s="5"/>
      <c r="T367" s="6"/>
      <c r="U367" s="6"/>
      <c r="V367" s="6"/>
      <c r="W367" s="7" t="str">
        <f t="shared" si="10"/>
        <v/>
      </c>
      <c r="X367" s="8" t="str">
        <f t="shared" si="11"/>
        <v/>
      </c>
      <c r="AG367" s="9"/>
      <c r="AH367" s="10"/>
    </row>
    <row r="368" spans="3:34" x14ac:dyDescent="0.35">
      <c r="C368" s="5"/>
      <c r="D368" s="5"/>
      <c r="T368" s="6"/>
      <c r="U368" s="6"/>
      <c r="V368" s="6"/>
      <c r="W368" s="7" t="str">
        <f t="shared" si="10"/>
        <v/>
      </c>
      <c r="X368" s="8" t="str">
        <f t="shared" si="11"/>
        <v/>
      </c>
      <c r="AG368" s="9"/>
      <c r="AH368" s="10"/>
    </row>
    <row r="369" spans="3:34" x14ac:dyDescent="0.35">
      <c r="C369" s="5"/>
      <c r="D369" s="5"/>
      <c r="T369" s="6"/>
      <c r="U369" s="6"/>
      <c r="V369" s="6"/>
      <c r="W369" s="7" t="str">
        <f t="shared" si="10"/>
        <v/>
      </c>
      <c r="X369" s="8" t="str">
        <f t="shared" si="11"/>
        <v/>
      </c>
      <c r="AG369" s="9"/>
      <c r="AH369" s="10"/>
    </row>
    <row r="370" spans="3:34" x14ac:dyDescent="0.35">
      <c r="C370" s="5"/>
      <c r="D370" s="5"/>
      <c r="T370" s="6"/>
      <c r="U370" s="6"/>
      <c r="V370" s="6"/>
      <c r="W370" s="7" t="str">
        <f t="shared" si="10"/>
        <v/>
      </c>
      <c r="X370" s="8" t="str">
        <f t="shared" si="11"/>
        <v/>
      </c>
      <c r="AG370" s="9"/>
      <c r="AH370" s="10"/>
    </row>
    <row r="371" spans="3:34" x14ac:dyDescent="0.35">
      <c r="C371" s="5"/>
      <c r="D371" s="5"/>
      <c r="T371" s="6"/>
      <c r="U371" s="6"/>
      <c r="V371" s="6"/>
      <c r="W371" s="7" t="str">
        <f t="shared" si="10"/>
        <v/>
      </c>
      <c r="X371" s="8" t="str">
        <f t="shared" si="11"/>
        <v/>
      </c>
      <c r="AG371" s="9"/>
      <c r="AH371" s="10"/>
    </row>
    <row r="372" spans="3:34" x14ac:dyDescent="0.35">
      <c r="C372" s="5"/>
      <c r="D372" s="5"/>
      <c r="T372" s="6"/>
      <c r="U372" s="6"/>
      <c r="V372" s="6"/>
      <c r="W372" s="7" t="str">
        <f t="shared" si="10"/>
        <v/>
      </c>
      <c r="X372" s="8" t="str">
        <f t="shared" si="11"/>
        <v/>
      </c>
      <c r="AG372" s="9"/>
      <c r="AH372" s="10"/>
    </row>
    <row r="373" spans="3:34" x14ac:dyDescent="0.35">
      <c r="C373" s="5"/>
      <c r="D373" s="5"/>
      <c r="T373" s="6"/>
      <c r="U373" s="6"/>
      <c r="V373" s="6"/>
      <c r="W373" s="7" t="str">
        <f t="shared" si="10"/>
        <v/>
      </c>
      <c r="X373" s="8" t="str">
        <f t="shared" si="11"/>
        <v/>
      </c>
      <c r="AG373" s="9"/>
      <c r="AH373" s="10"/>
    </row>
    <row r="374" spans="3:34" x14ac:dyDescent="0.35">
      <c r="C374" s="5"/>
      <c r="D374" s="5"/>
      <c r="T374" s="6"/>
      <c r="U374" s="6"/>
      <c r="V374" s="6"/>
      <c r="W374" s="7" t="str">
        <f t="shared" si="10"/>
        <v/>
      </c>
      <c r="X374" s="8" t="str">
        <f t="shared" si="11"/>
        <v/>
      </c>
      <c r="AG374" s="9"/>
      <c r="AH374" s="10"/>
    </row>
    <row r="375" spans="3:34" x14ac:dyDescent="0.35">
      <c r="C375" s="5"/>
      <c r="D375" s="5"/>
      <c r="T375" s="6"/>
      <c r="U375" s="6"/>
      <c r="V375" s="6"/>
      <c r="W375" s="7" t="str">
        <f t="shared" si="10"/>
        <v/>
      </c>
      <c r="X375" s="8" t="str">
        <f t="shared" si="11"/>
        <v/>
      </c>
      <c r="AG375" s="9"/>
      <c r="AH375" s="10"/>
    </row>
    <row r="376" spans="3:34" x14ac:dyDescent="0.35">
      <c r="C376" s="5"/>
      <c r="D376" s="5"/>
      <c r="T376" s="6"/>
      <c r="U376" s="6"/>
      <c r="V376" s="6"/>
      <c r="W376" s="7" t="str">
        <f t="shared" si="10"/>
        <v/>
      </c>
      <c r="X376" s="8" t="str">
        <f t="shared" si="11"/>
        <v/>
      </c>
      <c r="AG376" s="9"/>
      <c r="AH376" s="10"/>
    </row>
    <row r="377" spans="3:34" x14ac:dyDescent="0.35">
      <c r="C377" s="5"/>
      <c r="D377" s="5"/>
      <c r="T377" s="6"/>
      <c r="U377" s="6"/>
      <c r="V377" s="6"/>
      <c r="W377" s="7" t="str">
        <f t="shared" si="10"/>
        <v/>
      </c>
      <c r="X377" s="8" t="str">
        <f t="shared" si="11"/>
        <v/>
      </c>
      <c r="AG377" s="9"/>
      <c r="AH377" s="10"/>
    </row>
    <row r="378" spans="3:34" x14ac:dyDescent="0.35">
      <c r="C378" s="5"/>
      <c r="D378" s="5"/>
      <c r="T378" s="6"/>
      <c r="U378" s="6"/>
      <c r="V378" s="6"/>
      <c r="W378" s="7" t="str">
        <f t="shared" si="10"/>
        <v/>
      </c>
      <c r="X378" s="8" t="str">
        <f t="shared" si="11"/>
        <v/>
      </c>
      <c r="AG378" s="9"/>
      <c r="AH378" s="10"/>
    </row>
    <row r="379" spans="3:34" x14ac:dyDescent="0.35">
      <c r="C379" s="5"/>
      <c r="D379" s="5"/>
      <c r="T379" s="6"/>
      <c r="U379" s="6"/>
      <c r="V379" s="6"/>
      <c r="W379" s="7" t="str">
        <f t="shared" si="10"/>
        <v/>
      </c>
      <c r="X379" s="8" t="str">
        <f t="shared" si="11"/>
        <v/>
      </c>
      <c r="AG379" s="9"/>
      <c r="AH379" s="10"/>
    </row>
    <row r="380" spans="3:34" x14ac:dyDescent="0.35">
      <c r="C380" s="5"/>
      <c r="D380" s="5"/>
      <c r="T380" s="6"/>
      <c r="U380" s="6"/>
      <c r="V380" s="6"/>
      <c r="W380" s="7" t="str">
        <f t="shared" si="10"/>
        <v/>
      </c>
      <c r="X380" s="8" t="str">
        <f t="shared" si="11"/>
        <v/>
      </c>
      <c r="AG380" s="9"/>
      <c r="AH380" s="10"/>
    </row>
    <row r="381" spans="3:34" x14ac:dyDescent="0.35">
      <c r="C381" s="5"/>
      <c r="D381" s="5"/>
      <c r="T381" s="6"/>
      <c r="U381" s="6"/>
      <c r="V381" s="6"/>
      <c r="W381" s="7" t="str">
        <f t="shared" si="10"/>
        <v/>
      </c>
      <c r="X381" s="8" t="str">
        <f t="shared" si="11"/>
        <v/>
      </c>
      <c r="AG381" s="9"/>
      <c r="AH381" s="10"/>
    </row>
    <row r="382" spans="3:34" x14ac:dyDescent="0.35">
      <c r="C382" s="5"/>
      <c r="D382" s="5"/>
      <c r="T382" s="6"/>
      <c r="U382" s="6"/>
      <c r="V382" s="6"/>
      <c r="W382" s="7" t="str">
        <f t="shared" si="10"/>
        <v/>
      </c>
      <c r="X382" s="8" t="str">
        <f t="shared" si="11"/>
        <v/>
      </c>
      <c r="AG382" s="9"/>
      <c r="AH382" s="10"/>
    </row>
    <row r="383" spans="3:34" x14ac:dyDescent="0.35">
      <c r="C383" s="5"/>
      <c r="D383" s="5"/>
      <c r="T383" s="6"/>
      <c r="U383" s="6"/>
      <c r="V383" s="6"/>
      <c r="W383" s="7" t="str">
        <f t="shared" si="10"/>
        <v/>
      </c>
      <c r="X383" s="8" t="str">
        <f t="shared" si="11"/>
        <v/>
      </c>
      <c r="AG383" s="9"/>
      <c r="AH383" s="10"/>
    </row>
    <row r="384" spans="3:34" x14ac:dyDescent="0.35">
      <c r="C384" s="5"/>
      <c r="D384" s="5"/>
      <c r="T384" s="6"/>
      <c r="U384" s="6"/>
      <c r="V384" s="6"/>
      <c r="W384" s="7" t="str">
        <f t="shared" si="10"/>
        <v/>
      </c>
      <c r="X384" s="8" t="str">
        <f t="shared" si="11"/>
        <v/>
      </c>
      <c r="AG384" s="9"/>
      <c r="AH384" s="10"/>
    </row>
    <row r="385" spans="3:34" x14ac:dyDescent="0.35">
      <c r="C385" s="5"/>
      <c r="D385" s="5"/>
      <c r="T385" s="6"/>
      <c r="U385" s="6"/>
      <c r="V385" s="6"/>
      <c r="W385" s="7" t="str">
        <f t="shared" si="10"/>
        <v/>
      </c>
      <c r="X385" s="8" t="str">
        <f t="shared" si="11"/>
        <v/>
      </c>
      <c r="AG385" s="9"/>
      <c r="AH385" s="10"/>
    </row>
    <row r="386" spans="3:34" x14ac:dyDescent="0.35">
      <c r="C386" s="5"/>
      <c r="D386" s="5"/>
      <c r="T386" s="6"/>
      <c r="U386" s="6"/>
      <c r="V386" s="6"/>
      <c r="W386" s="7" t="str">
        <f t="shared" ref="W386:W449" si="12">IF($U386&gt;0,$U386-$V386,"")</f>
        <v/>
      </c>
      <c r="X386" s="8" t="str">
        <f t="shared" ref="X386:X449" si="13">IF($U386&gt;0,($U386-$V386)/$U386,"")</f>
        <v/>
      </c>
      <c r="AG386" s="9"/>
      <c r="AH386" s="10"/>
    </row>
    <row r="387" spans="3:34" x14ac:dyDescent="0.35">
      <c r="C387" s="5"/>
      <c r="D387" s="5"/>
      <c r="T387" s="6"/>
      <c r="U387" s="6"/>
      <c r="V387" s="6"/>
      <c r="W387" s="7" t="str">
        <f t="shared" si="12"/>
        <v/>
      </c>
      <c r="X387" s="8" t="str">
        <f t="shared" si="13"/>
        <v/>
      </c>
      <c r="AG387" s="9"/>
      <c r="AH387" s="10"/>
    </row>
    <row r="388" spans="3:34" x14ac:dyDescent="0.35">
      <c r="C388" s="5"/>
      <c r="D388" s="5"/>
      <c r="T388" s="6"/>
      <c r="U388" s="6"/>
      <c r="V388" s="6"/>
      <c r="W388" s="7" t="str">
        <f t="shared" si="12"/>
        <v/>
      </c>
      <c r="X388" s="8" t="str">
        <f t="shared" si="13"/>
        <v/>
      </c>
      <c r="AG388" s="9"/>
      <c r="AH388" s="10"/>
    </row>
    <row r="389" spans="3:34" x14ac:dyDescent="0.35">
      <c r="C389" s="5"/>
      <c r="D389" s="5"/>
      <c r="T389" s="6"/>
      <c r="U389" s="6"/>
      <c r="V389" s="6"/>
      <c r="W389" s="7" t="str">
        <f t="shared" si="12"/>
        <v/>
      </c>
      <c r="X389" s="8" t="str">
        <f t="shared" si="13"/>
        <v/>
      </c>
      <c r="AG389" s="9"/>
      <c r="AH389" s="10"/>
    </row>
    <row r="390" spans="3:34" x14ac:dyDescent="0.35">
      <c r="C390" s="5"/>
      <c r="D390" s="5"/>
      <c r="T390" s="6"/>
      <c r="U390" s="6"/>
      <c r="V390" s="6"/>
      <c r="W390" s="7" t="str">
        <f t="shared" si="12"/>
        <v/>
      </c>
      <c r="X390" s="8" t="str">
        <f t="shared" si="13"/>
        <v/>
      </c>
      <c r="AG390" s="9"/>
      <c r="AH390" s="10"/>
    </row>
    <row r="391" spans="3:34" x14ac:dyDescent="0.35">
      <c r="C391" s="5"/>
      <c r="D391" s="5"/>
      <c r="T391" s="6"/>
      <c r="U391" s="6"/>
      <c r="V391" s="6"/>
      <c r="W391" s="7" t="str">
        <f t="shared" si="12"/>
        <v/>
      </c>
      <c r="X391" s="8" t="str">
        <f t="shared" si="13"/>
        <v/>
      </c>
      <c r="AG391" s="9"/>
      <c r="AH391" s="10"/>
    </row>
    <row r="392" spans="3:34" x14ac:dyDescent="0.35">
      <c r="C392" s="5"/>
      <c r="D392" s="5"/>
      <c r="T392" s="6"/>
      <c r="U392" s="6"/>
      <c r="V392" s="6"/>
      <c r="W392" s="7" t="str">
        <f t="shared" si="12"/>
        <v/>
      </c>
      <c r="X392" s="8" t="str">
        <f t="shared" si="13"/>
        <v/>
      </c>
      <c r="AG392" s="9"/>
      <c r="AH392" s="10"/>
    </row>
    <row r="393" spans="3:34" x14ac:dyDescent="0.35">
      <c r="C393" s="5"/>
      <c r="D393" s="5"/>
      <c r="T393" s="6"/>
      <c r="U393" s="6"/>
      <c r="V393" s="6"/>
      <c r="W393" s="7" t="str">
        <f t="shared" si="12"/>
        <v/>
      </c>
      <c r="X393" s="8" t="str">
        <f t="shared" si="13"/>
        <v/>
      </c>
      <c r="AG393" s="9"/>
      <c r="AH393" s="10"/>
    </row>
    <row r="394" spans="3:34" x14ac:dyDescent="0.35">
      <c r="C394" s="5"/>
      <c r="D394" s="5"/>
      <c r="T394" s="6"/>
      <c r="U394" s="6"/>
      <c r="V394" s="6"/>
      <c r="W394" s="7" t="str">
        <f t="shared" si="12"/>
        <v/>
      </c>
      <c r="X394" s="8" t="str">
        <f t="shared" si="13"/>
        <v/>
      </c>
      <c r="AG394" s="9"/>
      <c r="AH394" s="10"/>
    </row>
    <row r="395" spans="3:34" x14ac:dyDescent="0.35">
      <c r="C395" s="5"/>
      <c r="D395" s="5"/>
      <c r="T395" s="6"/>
      <c r="U395" s="6"/>
      <c r="V395" s="6"/>
      <c r="W395" s="7" t="str">
        <f t="shared" si="12"/>
        <v/>
      </c>
      <c r="X395" s="8" t="str">
        <f t="shared" si="13"/>
        <v/>
      </c>
      <c r="AG395" s="9"/>
      <c r="AH395" s="10"/>
    </row>
    <row r="396" spans="3:34" x14ac:dyDescent="0.35">
      <c r="C396" s="5"/>
      <c r="D396" s="5"/>
      <c r="T396" s="6"/>
      <c r="U396" s="6"/>
      <c r="V396" s="6"/>
      <c r="W396" s="7" t="str">
        <f t="shared" si="12"/>
        <v/>
      </c>
      <c r="X396" s="8" t="str">
        <f t="shared" si="13"/>
        <v/>
      </c>
      <c r="AG396" s="9"/>
      <c r="AH396" s="10"/>
    </row>
    <row r="397" spans="3:34" x14ac:dyDescent="0.35">
      <c r="C397" s="5"/>
      <c r="D397" s="5"/>
      <c r="T397" s="6"/>
      <c r="U397" s="6"/>
      <c r="V397" s="6"/>
      <c r="W397" s="7" t="str">
        <f t="shared" si="12"/>
        <v/>
      </c>
      <c r="X397" s="8" t="str">
        <f t="shared" si="13"/>
        <v/>
      </c>
      <c r="AG397" s="9"/>
      <c r="AH397" s="10"/>
    </row>
    <row r="398" spans="3:34" x14ac:dyDescent="0.35">
      <c r="C398" s="5"/>
      <c r="D398" s="5"/>
      <c r="T398" s="6"/>
      <c r="U398" s="6"/>
      <c r="V398" s="6"/>
      <c r="W398" s="7" t="str">
        <f t="shared" si="12"/>
        <v/>
      </c>
      <c r="X398" s="8" t="str">
        <f t="shared" si="13"/>
        <v/>
      </c>
      <c r="AG398" s="9"/>
      <c r="AH398" s="10"/>
    </row>
    <row r="399" spans="3:34" x14ac:dyDescent="0.35">
      <c r="C399" s="5"/>
      <c r="D399" s="5"/>
      <c r="T399" s="6"/>
      <c r="U399" s="6"/>
      <c r="V399" s="6"/>
      <c r="W399" s="7" t="str">
        <f t="shared" si="12"/>
        <v/>
      </c>
      <c r="X399" s="8" t="str">
        <f t="shared" si="13"/>
        <v/>
      </c>
      <c r="AG399" s="9"/>
      <c r="AH399" s="10"/>
    </row>
    <row r="400" spans="3:34" x14ac:dyDescent="0.35">
      <c r="C400" s="5"/>
      <c r="D400" s="5"/>
      <c r="T400" s="6"/>
      <c r="U400" s="6"/>
      <c r="V400" s="6"/>
      <c r="W400" s="7" t="str">
        <f t="shared" si="12"/>
        <v/>
      </c>
      <c r="X400" s="8" t="str">
        <f t="shared" si="13"/>
        <v/>
      </c>
      <c r="AG400" s="9"/>
      <c r="AH400" s="10"/>
    </row>
    <row r="401" spans="3:34" x14ac:dyDescent="0.35">
      <c r="C401" s="5"/>
      <c r="D401" s="5"/>
      <c r="T401" s="6"/>
      <c r="U401" s="6"/>
      <c r="V401" s="6"/>
      <c r="W401" s="7" t="str">
        <f t="shared" si="12"/>
        <v/>
      </c>
      <c r="X401" s="8" t="str">
        <f t="shared" si="13"/>
        <v/>
      </c>
      <c r="AG401" s="9"/>
      <c r="AH401" s="10"/>
    </row>
    <row r="402" spans="3:34" x14ac:dyDescent="0.35">
      <c r="C402" s="5"/>
      <c r="D402" s="5"/>
      <c r="T402" s="6"/>
      <c r="U402" s="6"/>
      <c r="V402" s="6"/>
      <c r="W402" s="7" t="str">
        <f t="shared" si="12"/>
        <v/>
      </c>
      <c r="X402" s="8" t="str">
        <f t="shared" si="13"/>
        <v/>
      </c>
      <c r="AG402" s="9"/>
      <c r="AH402" s="10"/>
    </row>
    <row r="403" spans="3:34" x14ac:dyDescent="0.35">
      <c r="C403" s="5"/>
      <c r="D403" s="5"/>
      <c r="T403" s="6"/>
      <c r="U403" s="6"/>
      <c r="V403" s="6"/>
      <c r="W403" s="7" t="str">
        <f t="shared" si="12"/>
        <v/>
      </c>
      <c r="X403" s="8" t="str">
        <f t="shared" si="13"/>
        <v/>
      </c>
      <c r="AG403" s="9"/>
      <c r="AH403" s="10"/>
    </row>
    <row r="404" spans="3:34" x14ac:dyDescent="0.35">
      <c r="C404" s="5"/>
      <c r="D404" s="5"/>
      <c r="T404" s="6"/>
      <c r="U404" s="6"/>
      <c r="V404" s="6"/>
      <c r="W404" s="7" t="str">
        <f t="shared" si="12"/>
        <v/>
      </c>
      <c r="X404" s="8" t="str">
        <f t="shared" si="13"/>
        <v/>
      </c>
      <c r="AG404" s="9"/>
      <c r="AH404" s="10"/>
    </row>
    <row r="405" spans="3:34" x14ac:dyDescent="0.35">
      <c r="C405" s="5"/>
      <c r="D405" s="5"/>
      <c r="T405" s="6"/>
      <c r="U405" s="6"/>
      <c r="V405" s="6"/>
      <c r="W405" s="7" t="str">
        <f t="shared" si="12"/>
        <v/>
      </c>
      <c r="X405" s="8" t="str">
        <f t="shared" si="13"/>
        <v/>
      </c>
      <c r="AG405" s="9"/>
      <c r="AH405" s="10"/>
    </row>
    <row r="406" spans="3:34" x14ac:dyDescent="0.35">
      <c r="C406" s="5"/>
      <c r="D406" s="5"/>
      <c r="T406" s="6"/>
      <c r="U406" s="6"/>
      <c r="V406" s="6"/>
      <c r="W406" s="7" t="str">
        <f t="shared" si="12"/>
        <v/>
      </c>
      <c r="X406" s="8" t="str">
        <f t="shared" si="13"/>
        <v/>
      </c>
      <c r="AG406" s="9"/>
      <c r="AH406" s="10"/>
    </row>
    <row r="407" spans="3:34" x14ac:dyDescent="0.35">
      <c r="C407" s="5"/>
      <c r="D407" s="5"/>
      <c r="T407" s="6"/>
      <c r="U407" s="6"/>
      <c r="V407" s="6"/>
      <c r="W407" s="7" t="str">
        <f t="shared" si="12"/>
        <v/>
      </c>
      <c r="X407" s="8" t="str">
        <f t="shared" si="13"/>
        <v/>
      </c>
      <c r="AG407" s="9"/>
      <c r="AH407" s="10"/>
    </row>
    <row r="408" spans="3:34" x14ac:dyDescent="0.35">
      <c r="C408" s="5"/>
      <c r="D408" s="5"/>
      <c r="T408" s="6"/>
      <c r="U408" s="6"/>
      <c r="V408" s="6"/>
      <c r="W408" s="7" t="str">
        <f t="shared" si="12"/>
        <v/>
      </c>
      <c r="X408" s="8" t="str">
        <f t="shared" si="13"/>
        <v/>
      </c>
      <c r="AG408" s="9"/>
      <c r="AH408" s="10"/>
    </row>
    <row r="409" spans="3:34" x14ac:dyDescent="0.35">
      <c r="C409" s="5"/>
      <c r="D409" s="5"/>
      <c r="T409" s="6"/>
      <c r="U409" s="6"/>
      <c r="V409" s="6"/>
      <c r="W409" s="7" t="str">
        <f t="shared" si="12"/>
        <v/>
      </c>
      <c r="X409" s="8" t="str">
        <f t="shared" si="13"/>
        <v/>
      </c>
      <c r="AG409" s="9"/>
      <c r="AH409" s="10"/>
    </row>
    <row r="410" spans="3:34" x14ac:dyDescent="0.35">
      <c r="C410" s="5"/>
      <c r="D410" s="5"/>
      <c r="T410" s="6"/>
      <c r="U410" s="6"/>
      <c r="V410" s="6"/>
      <c r="W410" s="7" t="str">
        <f t="shared" si="12"/>
        <v/>
      </c>
      <c r="X410" s="8" t="str">
        <f t="shared" si="13"/>
        <v/>
      </c>
      <c r="AG410" s="9"/>
      <c r="AH410" s="10"/>
    </row>
    <row r="411" spans="3:34" x14ac:dyDescent="0.35">
      <c r="C411" s="5"/>
      <c r="D411" s="5"/>
      <c r="T411" s="6"/>
      <c r="U411" s="6"/>
      <c r="V411" s="6"/>
      <c r="W411" s="7" t="str">
        <f t="shared" si="12"/>
        <v/>
      </c>
      <c r="X411" s="8" t="str">
        <f t="shared" si="13"/>
        <v/>
      </c>
      <c r="AG411" s="9"/>
      <c r="AH411" s="10"/>
    </row>
    <row r="412" spans="3:34" x14ac:dyDescent="0.35">
      <c r="C412" s="5"/>
      <c r="D412" s="5"/>
      <c r="T412" s="6"/>
      <c r="U412" s="6"/>
      <c r="V412" s="6"/>
      <c r="W412" s="7" t="str">
        <f t="shared" si="12"/>
        <v/>
      </c>
      <c r="X412" s="8" t="str">
        <f t="shared" si="13"/>
        <v/>
      </c>
      <c r="AG412" s="9"/>
      <c r="AH412" s="10"/>
    </row>
    <row r="413" spans="3:34" x14ac:dyDescent="0.35">
      <c r="C413" s="5"/>
      <c r="D413" s="5"/>
      <c r="T413" s="6"/>
      <c r="U413" s="6"/>
      <c r="V413" s="6"/>
      <c r="W413" s="7" t="str">
        <f t="shared" si="12"/>
        <v/>
      </c>
      <c r="X413" s="8" t="str">
        <f t="shared" si="13"/>
        <v/>
      </c>
      <c r="AG413" s="9"/>
      <c r="AH413" s="10"/>
    </row>
    <row r="414" spans="3:34" x14ac:dyDescent="0.35">
      <c r="C414" s="5"/>
      <c r="D414" s="5"/>
      <c r="T414" s="6"/>
      <c r="U414" s="6"/>
      <c r="V414" s="6"/>
      <c r="W414" s="7" t="str">
        <f t="shared" si="12"/>
        <v/>
      </c>
      <c r="X414" s="8" t="str">
        <f t="shared" si="13"/>
        <v/>
      </c>
      <c r="AG414" s="9"/>
      <c r="AH414" s="10"/>
    </row>
    <row r="415" spans="3:34" x14ac:dyDescent="0.35">
      <c r="C415" s="5"/>
      <c r="D415" s="5"/>
      <c r="T415" s="6"/>
      <c r="U415" s="6"/>
      <c r="V415" s="6"/>
      <c r="W415" s="7" t="str">
        <f t="shared" si="12"/>
        <v/>
      </c>
      <c r="X415" s="8" t="str">
        <f t="shared" si="13"/>
        <v/>
      </c>
      <c r="AG415" s="9"/>
      <c r="AH415" s="10"/>
    </row>
    <row r="416" spans="3:34" x14ac:dyDescent="0.35">
      <c r="C416" s="5"/>
      <c r="D416" s="5"/>
      <c r="T416" s="6"/>
      <c r="U416" s="6"/>
      <c r="V416" s="6"/>
      <c r="W416" s="7" t="str">
        <f t="shared" si="12"/>
        <v/>
      </c>
      <c r="X416" s="8" t="str">
        <f t="shared" si="13"/>
        <v/>
      </c>
      <c r="AG416" s="9"/>
      <c r="AH416" s="10"/>
    </row>
    <row r="417" spans="3:34" x14ac:dyDescent="0.35">
      <c r="C417" s="5"/>
      <c r="D417" s="5"/>
      <c r="T417" s="6"/>
      <c r="U417" s="6"/>
      <c r="V417" s="6"/>
      <c r="W417" s="7" t="str">
        <f t="shared" si="12"/>
        <v/>
      </c>
      <c r="X417" s="8" t="str">
        <f t="shared" si="13"/>
        <v/>
      </c>
      <c r="AG417" s="9"/>
      <c r="AH417" s="10"/>
    </row>
    <row r="418" spans="3:34" x14ac:dyDescent="0.35">
      <c r="C418" s="5"/>
      <c r="D418" s="5"/>
      <c r="T418" s="6"/>
      <c r="U418" s="6"/>
      <c r="V418" s="6"/>
      <c r="W418" s="7" t="str">
        <f t="shared" si="12"/>
        <v/>
      </c>
      <c r="X418" s="8" t="str">
        <f t="shared" si="13"/>
        <v/>
      </c>
      <c r="AG418" s="9"/>
      <c r="AH418" s="10"/>
    </row>
    <row r="419" spans="3:34" x14ac:dyDescent="0.35">
      <c r="C419" s="5"/>
      <c r="D419" s="5"/>
      <c r="T419" s="6"/>
      <c r="U419" s="6"/>
      <c r="V419" s="6"/>
      <c r="W419" s="7" t="str">
        <f t="shared" si="12"/>
        <v/>
      </c>
      <c r="X419" s="8" t="str">
        <f t="shared" si="13"/>
        <v/>
      </c>
      <c r="AG419" s="9"/>
      <c r="AH419" s="10"/>
    </row>
    <row r="420" spans="3:34" x14ac:dyDescent="0.35">
      <c r="C420" s="5"/>
      <c r="D420" s="5"/>
      <c r="T420" s="6"/>
      <c r="U420" s="6"/>
      <c r="V420" s="6"/>
      <c r="W420" s="7" t="str">
        <f t="shared" si="12"/>
        <v/>
      </c>
      <c r="X420" s="8" t="str">
        <f t="shared" si="13"/>
        <v/>
      </c>
      <c r="AG420" s="9"/>
      <c r="AH420" s="10"/>
    </row>
    <row r="421" spans="3:34" x14ac:dyDescent="0.35">
      <c r="C421" s="5"/>
      <c r="D421" s="5"/>
      <c r="T421" s="6"/>
      <c r="U421" s="6"/>
      <c r="V421" s="6"/>
      <c r="W421" s="7" t="str">
        <f t="shared" si="12"/>
        <v/>
      </c>
      <c r="X421" s="8" t="str">
        <f t="shared" si="13"/>
        <v/>
      </c>
      <c r="AG421" s="9"/>
      <c r="AH421" s="10"/>
    </row>
    <row r="422" spans="3:34" x14ac:dyDescent="0.35">
      <c r="C422" s="5"/>
      <c r="D422" s="5"/>
      <c r="T422" s="6"/>
      <c r="U422" s="6"/>
      <c r="V422" s="6"/>
      <c r="W422" s="7" t="str">
        <f t="shared" si="12"/>
        <v/>
      </c>
      <c r="X422" s="8" t="str">
        <f t="shared" si="13"/>
        <v/>
      </c>
      <c r="AG422" s="9"/>
      <c r="AH422" s="10"/>
    </row>
    <row r="423" spans="3:34" x14ac:dyDescent="0.35">
      <c r="C423" s="5"/>
      <c r="D423" s="5"/>
      <c r="T423" s="6"/>
      <c r="U423" s="6"/>
      <c r="V423" s="6"/>
      <c r="W423" s="7" t="str">
        <f t="shared" si="12"/>
        <v/>
      </c>
      <c r="X423" s="8" t="str">
        <f t="shared" si="13"/>
        <v/>
      </c>
      <c r="AG423" s="9"/>
      <c r="AH423" s="10"/>
    </row>
    <row r="424" spans="3:34" x14ac:dyDescent="0.35">
      <c r="C424" s="5"/>
      <c r="D424" s="5"/>
      <c r="T424" s="6"/>
      <c r="U424" s="6"/>
      <c r="V424" s="6"/>
      <c r="W424" s="7" t="str">
        <f t="shared" si="12"/>
        <v/>
      </c>
      <c r="X424" s="8" t="str">
        <f t="shared" si="13"/>
        <v/>
      </c>
      <c r="AG424" s="9"/>
      <c r="AH424" s="10"/>
    </row>
    <row r="425" spans="3:34" x14ac:dyDescent="0.35">
      <c r="C425" s="5"/>
      <c r="D425" s="5"/>
      <c r="T425" s="6"/>
      <c r="U425" s="6"/>
      <c r="V425" s="6"/>
      <c r="W425" s="7" t="str">
        <f t="shared" si="12"/>
        <v/>
      </c>
      <c r="X425" s="8" t="str">
        <f t="shared" si="13"/>
        <v/>
      </c>
      <c r="AG425" s="9"/>
      <c r="AH425" s="10"/>
    </row>
    <row r="426" spans="3:34" x14ac:dyDescent="0.35">
      <c r="C426" s="5"/>
      <c r="D426" s="5"/>
      <c r="T426" s="6"/>
      <c r="U426" s="6"/>
      <c r="V426" s="6"/>
      <c r="W426" s="7" t="str">
        <f t="shared" si="12"/>
        <v/>
      </c>
      <c r="X426" s="8" t="str">
        <f t="shared" si="13"/>
        <v/>
      </c>
      <c r="AG426" s="9"/>
      <c r="AH426" s="10"/>
    </row>
    <row r="427" spans="3:34" x14ac:dyDescent="0.35">
      <c r="C427" s="5"/>
      <c r="D427" s="5"/>
      <c r="T427" s="6"/>
      <c r="U427" s="6"/>
      <c r="V427" s="6"/>
      <c r="W427" s="7" t="str">
        <f t="shared" si="12"/>
        <v/>
      </c>
      <c r="X427" s="8" t="str">
        <f t="shared" si="13"/>
        <v/>
      </c>
      <c r="AG427" s="9"/>
      <c r="AH427" s="10"/>
    </row>
    <row r="428" spans="3:34" x14ac:dyDescent="0.35">
      <c r="C428" s="5"/>
      <c r="D428" s="5"/>
      <c r="T428" s="6"/>
      <c r="U428" s="6"/>
      <c r="V428" s="6"/>
      <c r="W428" s="7" t="str">
        <f t="shared" si="12"/>
        <v/>
      </c>
      <c r="X428" s="8" t="str">
        <f t="shared" si="13"/>
        <v/>
      </c>
      <c r="AG428" s="9"/>
      <c r="AH428" s="10"/>
    </row>
    <row r="429" spans="3:34" x14ac:dyDescent="0.35">
      <c r="C429" s="5"/>
      <c r="D429" s="5"/>
      <c r="T429" s="6"/>
      <c r="U429" s="6"/>
      <c r="V429" s="6"/>
      <c r="W429" s="7" t="str">
        <f t="shared" si="12"/>
        <v/>
      </c>
      <c r="X429" s="8" t="str">
        <f t="shared" si="13"/>
        <v/>
      </c>
      <c r="AG429" s="9"/>
      <c r="AH429" s="10"/>
    </row>
    <row r="430" spans="3:34" x14ac:dyDescent="0.35">
      <c r="C430" s="5"/>
      <c r="D430" s="5"/>
      <c r="T430" s="6"/>
      <c r="U430" s="6"/>
      <c r="V430" s="6"/>
      <c r="W430" s="7" t="str">
        <f t="shared" si="12"/>
        <v/>
      </c>
      <c r="X430" s="8" t="str">
        <f t="shared" si="13"/>
        <v/>
      </c>
      <c r="AG430" s="9"/>
      <c r="AH430" s="10"/>
    </row>
    <row r="431" spans="3:34" x14ac:dyDescent="0.35">
      <c r="C431" s="5"/>
      <c r="D431" s="5"/>
      <c r="T431" s="6"/>
      <c r="U431" s="6"/>
      <c r="V431" s="6"/>
      <c r="W431" s="7" t="str">
        <f t="shared" si="12"/>
        <v/>
      </c>
      <c r="X431" s="8" t="str">
        <f t="shared" si="13"/>
        <v/>
      </c>
      <c r="AG431" s="9"/>
      <c r="AH431" s="10"/>
    </row>
    <row r="432" spans="3:34" x14ac:dyDescent="0.35">
      <c r="C432" s="5"/>
      <c r="D432" s="5"/>
      <c r="T432" s="6"/>
      <c r="U432" s="6"/>
      <c r="V432" s="6"/>
      <c r="W432" s="7" t="str">
        <f t="shared" si="12"/>
        <v/>
      </c>
      <c r="X432" s="8" t="str">
        <f t="shared" si="13"/>
        <v/>
      </c>
      <c r="AG432" s="9"/>
      <c r="AH432" s="10"/>
    </row>
    <row r="433" spans="3:34" x14ac:dyDescent="0.35">
      <c r="C433" s="5"/>
      <c r="D433" s="5"/>
      <c r="T433" s="6"/>
      <c r="U433" s="6"/>
      <c r="V433" s="6"/>
      <c r="W433" s="7" t="str">
        <f t="shared" si="12"/>
        <v/>
      </c>
      <c r="X433" s="8" t="str">
        <f t="shared" si="13"/>
        <v/>
      </c>
      <c r="AG433" s="9"/>
      <c r="AH433" s="10"/>
    </row>
    <row r="434" spans="3:34" x14ac:dyDescent="0.35">
      <c r="C434" s="5"/>
      <c r="D434" s="5"/>
      <c r="T434" s="6"/>
      <c r="U434" s="6"/>
      <c r="V434" s="6"/>
      <c r="W434" s="7" t="str">
        <f t="shared" si="12"/>
        <v/>
      </c>
      <c r="X434" s="8" t="str">
        <f t="shared" si="13"/>
        <v/>
      </c>
      <c r="AG434" s="9"/>
      <c r="AH434" s="10"/>
    </row>
    <row r="435" spans="3:34" x14ac:dyDescent="0.35">
      <c r="C435" s="5"/>
      <c r="D435" s="5"/>
      <c r="T435" s="6"/>
      <c r="U435" s="6"/>
      <c r="V435" s="6"/>
      <c r="W435" s="7" t="str">
        <f t="shared" si="12"/>
        <v/>
      </c>
      <c r="X435" s="8" t="str">
        <f t="shared" si="13"/>
        <v/>
      </c>
      <c r="AG435" s="9"/>
      <c r="AH435" s="10"/>
    </row>
    <row r="436" spans="3:34" x14ac:dyDescent="0.35">
      <c r="C436" s="5"/>
      <c r="D436" s="5"/>
      <c r="T436" s="6"/>
      <c r="U436" s="6"/>
      <c r="V436" s="6"/>
      <c r="W436" s="7" t="str">
        <f t="shared" si="12"/>
        <v/>
      </c>
      <c r="X436" s="8" t="str">
        <f t="shared" si="13"/>
        <v/>
      </c>
      <c r="AG436" s="9"/>
      <c r="AH436" s="10"/>
    </row>
    <row r="437" spans="3:34" x14ac:dyDescent="0.35">
      <c r="C437" s="5"/>
      <c r="D437" s="5"/>
      <c r="T437" s="6"/>
      <c r="U437" s="6"/>
      <c r="V437" s="6"/>
      <c r="W437" s="7" t="str">
        <f t="shared" si="12"/>
        <v/>
      </c>
      <c r="X437" s="8" t="str">
        <f t="shared" si="13"/>
        <v/>
      </c>
      <c r="AG437" s="9"/>
      <c r="AH437" s="10"/>
    </row>
    <row r="438" spans="3:34" x14ac:dyDescent="0.35">
      <c r="C438" s="5"/>
      <c r="D438" s="5"/>
      <c r="T438" s="6"/>
      <c r="U438" s="6"/>
      <c r="V438" s="6"/>
      <c r="W438" s="7" t="str">
        <f t="shared" si="12"/>
        <v/>
      </c>
      <c r="X438" s="8" t="str">
        <f t="shared" si="13"/>
        <v/>
      </c>
      <c r="AG438" s="9"/>
      <c r="AH438" s="10"/>
    </row>
    <row r="439" spans="3:34" x14ac:dyDescent="0.35">
      <c r="C439" s="5"/>
      <c r="D439" s="5"/>
      <c r="T439" s="6"/>
      <c r="U439" s="6"/>
      <c r="V439" s="6"/>
      <c r="W439" s="7" t="str">
        <f t="shared" si="12"/>
        <v/>
      </c>
      <c r="X439" s="8" t="str">
        <f t="shared" si="13"/>
        <v/>
      </c>
      <c r="AG439" s="9"/>
      <c r="AH439" s="10"/>
    </row>
    <row r="440" spans="3:34" x14ac:dyDescent="0.35">
      <c r="C440" s="5"/>
      <c r="D440" s="5"/>
      <c r="T440" s="6"/>
      <c r="U440" s="6"/>
      <c r="V440" s="6"/>
      <c r="W440" s="7" t="str">
        <f t="shared" si="12"/>
        <v/>
      </c>
      <c r="X440" s="8" t="str">
        <f t="shared" si="13"/>
        <v/>
      </c>
      <c r="AG440" s="9"/>
      <c r="AH440" s="10"/>
    </row>
    <row r="441" spans="3:34" x14ac:dyDescent="0.35">
      <c r="C441" s="5"/>
      <c r="D441" s="5"/>
      <c r="T441" s="6"/>
      <c r="U441" s="6"/>
      <c r="V441" s="6"/>
      <c r="W441" s="7" t="str">
        <f t="shared" si="12"/>
        <v/>
      </c>
      <c r="X441" s="8" t="str">
        <f t="shared" si="13"/>
        <v/>
      </c>
      <c r="AG441" s="9"/>
      <c r="AH441" s="10"/>
    </row>
    <row r="442" spans="3:34" x14ac:dyDescent="0.35">
      <c r="C442" s="5"/>
      <c r="D442" s="5"/>
      <c r="T442" s="6"/>
      <c r="U442" s="6"/>
      <c r="V442" s="6"/>
      <c r="W442" s="7" t="str">
        <f t="shared" si="12"/>
        <v/>
      </c>
      <c r="X442" s="8" t="str">
        <f t="shared" si="13"/>
        <v/>
      </c>
      <c r="AG442" s="9"/>
      <c r="AH442" s="10"/>
    </row>
    <row r="443" spans="3:34" x14ac:dyDescent="0.35">
      <c r="C443" s="5"/>
      <c r="D443" s="5"/>
      <c r="T443" s="6"/>
      <c r="U443" s="6"/>
      <c r="V443" s="6"/>
      <c r="W443" s="7" t="str">
        <f t="shared" si="12"/>
        <v/>
      </c>
      <c r="X443" s="8" t="str">
        <f t="shared" si="13"/>
        <v/>
      </c>
      <c r="AG443" s="9"/>
      <c r="AH443" s="10"/>
    </row>
    <row r="444" spans="3:34" x14ac:dyDescent="0.35">
      <c r="C444" s="5"/>
      <c r="D444" s="5"/>
      <c r="T444" s="6"/>
      <c r="U444" s="6"/>
      <c r="V444" s="6"/>
      <c r="W444" s="7" t="str">
        <f t="shared" si="12"/>
        <v/>
      </c>
      <c r="X444" s="8" t="str">
        <f t="shared" si="13"/>
        <v/>
      </c>
      <c r="AG444" s="9"/>
      <c r="AH444" s="10"/>
    </row>
    <row r="445" spans="3:34" x14ac:dyDescent="0.35">
      <c r="C445" s="5"/>
      <c r="D445" s="5"/>
      <c r="T445" s="6"/>
      <c r="U445" s="6"/>
      <c r="V445" s="6"/>
      <c r="W445" s="7" t="str">
        <f t="shared" si="12"/>
        <v/>
      </c>
      <c r="X445" s="8" t="str">
        <f t="shared" si="13"/>
        <v/>
      </c>
      <c r="AG445" s="9"/>
      <c r="AH445" s="10"/>
    </row>
    <row r="446" spans="3:34" x14ac:dyDescent="0.35">
      <c r="C446" s="5"/>
      <c r="D446" s="5"/>
      <c r="T446" s="6"/>
      <c r="U446" s="6"/>
      <c r="V446" s="6"/>
      <c r="W446" s="7" t="str">
        <f t="shared" si="12"/>
        <v/>
      </c>
      <c r="X446" s="8" t="str">
        <f t="shared" si="13"/>
        <v/>
      </c>
      <c r="AG446" s="9"/>
      <c r="AH446" s="10"/>
    </row>
    <row r="447" spans="3:34" x14ac:dyDescent="0.35">
      <c r="C447" s="5"/>
      <c r="D447" s="5"/>
      <c r="T447" s="6"/>
      <c r="U447" s="6"/>
      <c r="V447" s="6"/>
      <c r="W447" s="7" t="str">
        <f t="shared" si="12"/>
        <v/>
      </c>
      <c r="X447" s="8" t="str">
        <f t="shared" si="13"/>
        <v/>
      </c>
      <c r="AG447" s="9"/>
      <c r="AH447" s="10"/>
    </row>
    <row r="448" spans="3:34" x14ac:dyDescent="0.35">
      <c r="C448" s="5"/>
      <c r="D448" s="5"/>
      <c r="T448" s="6"/>
      <c r="U448" s="6"/>
      <c r="V448" s="6"/>
      <c r="W448" s="7" t="str">
        <f t="shared" si="12"/>
        <v/>
      </c>
      <c r="X448" s="8" t="str">
        <f t="shared" si="13"/>
        <v/>
      </c>
      <c r="AG448" s="9"/>
      <c r="AH448" s="10"/>
    </row>
    <row r="449" spans="3:34" x14ac:dyDescent="0.35">
      <c r="C449" s="5"/>
      <c r="D449" s="5"/>
      <c r="T449" s="6"/>
      <c r="U449" s="6"/>
      <c r="V449" s="6"/>
      <c r="W449" s="7" t="str">
        <f t="shared" si="12"/>
        <v/>
      </c>
      <c r="X449" s="8" t="str">
        <f t="shared" si="13"/>
        <v/>
      </c>
      <c r="AG449" s="9"/>
      <c r="AH449" s="10"/>
    </row>
    <row r="450" spans="3:34" x14ac:dyDescent="0.35">
      <c r="C450" s="5"/>
      <c r="D450" s="5"/>
      <c r="T450" s="6"/>
      <c r="U450" s="6"/>
      <c r="V450" s="6"/>
      <c r="W450" s="7" t="str">
        <f t="shared" ref="W450:W513" si="14">IF($U450&gt;0,$U450-$V450,"")</f>
        <v/>
      </c>
      <c r="X450" s="8" t="str">
        <f t="shared" ref="X450:X513" si="15">IF($U450&gt;0,($U450-$V450)/$U450,"")</f>
        <v/>
      </c>
      <c r="AG450" s="9"/>
      <c r="AH450" s="10"/>
    </row>
    <row r="451" spans="3:34" x14ac:dyDescent="0.35">
      <c r="C451" s="5"/>
      <c r="D451" s="5"/>
      <c r="T451" s="6"/>
      <c r="U451" s="6"/>
      <c r="V451" s="6"/>
      <c r="W451" s="7" t="str">
        <f t="shared" si="14"/>
        <v/>
      </c>
      <c r="X451" s="8" t="str">
        <f t="shared" si="15"/>
        <v/>
      </c>
      <c r="AG451" s="9"/>
      <c r="AH451" s="10"/>
    </row>
    <row r="452" spans="3:34" x14ac:dyDescent="0.35">
      <c r="C452" s="5"/>
      <c r="D452" s="5"/>
      <c r="T452" s="6"/>
      <c r="U452" s="6"/>
      <c r="V452" s="6"/>
      <c r="W452" s="7" t="str">
        <f t="shared" si="14"/>
        <v/>
      </c>
      <c r="X452" s="8" t="str">
        <f t="shared" si="15"/>
        <v/>
      </c>
      <c r="AG452" s="9"/>
      <c r="AH452" s="10"/>
    </row>
    <row r="453" spans="3:34" x14ac:dyDescent="0.35">
      <c r="C453" s="5"/>
      <c r="D453" s="5"/>
      <c r="T453" s="6"/>
      <c r="U453" s="6"/>
      <c r="V453" s="6"/>
      <c r="W453" s="7" t="str">
        <f t="shared" si="14"/>
        <v/>
      </c>
      <c r="X453" s="8" t="str">
        <f t="shared" si="15"/>
        <v/>
      </c>
      <c r="AG453" s="9"/>
      <c r="AH453" s="10"/>
    </row>
    <row r="454" spans="3:34" x14ac:dyDescent="0.35">
      <c r="C454" s="5"/>
      <c r="D454" s="5"/>
      <c r="T454" s="6"/>
      <c r="U454" s="6"/>
      <c r="V454" s="6"/>
      <c r="W454" s="7" t="str">
        <f t="shared" si="14"/>
        <v/>
      </c>
      <c r="X454" s="8" t="str">
        <f t="shared" si="15"/>
        <v/>
      </c>
      <c r="AG454" s="9"/>
      <c r="AH454" s="10"/>
    </row>
    <row r="455" spans="3:34" x14ac:dyDescent="0.35">
      <c r="C455" s="5"/>
      <c r="D455" s="5"/>
      <c r="T455" s="6"/>
      <c r="U455" s="6"/>
      <c r="V455" s="6"/>
      <c r="W455" s="7" t="str">
        <f t="shared" si="14"/>
        <v/>
      </c>
      <c r="X455" s="8" t="str">
        <f t="shared" si="15"/>
        <v/>
      </c>
      <c r="AG455" s="9"/>
      <c r="AH455" s="10"/>
    </row>
    <row r="456" spans="3:34" x14ac:dyDescent="0.35">
      <c r="C456" s="5"/>
      <c r="D456" s="5"/>
      <c r="T456" s="6"/>
      <c r="U456" s="6"/>
      <c r="V456" s="6"/>
      <c r="W456" s="7" t="str">
        <f t="shared" si="14"/>
        <v/>
      </c>
      <c r="X456" s="8" t="str">
        <f t="shared" si="15"/>
        <v/>
      </c>
      <c r="AG456" s="9"/>
      <c r="AH456" s="10"/>
    </row>
    <row r="457" spans="3:34" x14ac:dyDescent="0.35">
      <c r="C457" s="5"/>
      <c r="D457" s="5"/>
      <c r="T457" s="6"/>
      <c r="U457" s="6"/>
      <c r="V457" s="6"/>
      <c r="W457" s="7" t="str">
        <f t="shared" si="14"/>
        <v/>
      </c>
      <c r="X457" s="8" t="str">
        <f t="shared" si="15"/>
        <v/>
      </c>
      <c r="AG457" s="9"/>
      <c r="AH457" s="10"/>
    </row>
    <row r="458" spans="3:34" x14ac:dyDescent="0.35">
      <c r="C458" s="5"/>
      <c r="D458" s="5"/>
      <c r="T458" s="6"/>
      <c r="U458" s="6"/>
      <c r="V458" s="6"/>
      <c r="W458" s="7" t="str">
        <f t="shared" si="14"/>
        <v/>
      </c>
      <c r="X458" s="8" t="str">
        <f t="shared" si="15"/>
        <v/>
      </c>
      <c r="AG458" s="9"/>
      <c r="AH458" s="10"/>
    </row>
    <row r="459" spans="3:34" x14ac:dyDescent="0.35">
      <c r="C459" s="5"/>
      <c r="D459" s="5"/>
      <c r="T459" s="6"/>
      <c r="U459" s="6"/>
      <c r="V459" s="6"/>
      <c r="W459" s="7" t="str">
        <f t="shared" si="14"/>
        <v/>
      </c>
      <c r="X459" s="8" t="str">
        <f t="shared" si="15"/>
        <v/>
      </c>
      <c r="AG459" s="9"/>
      <c r="AH459" s="10"/>
    </row>
    <row r="460" spans="3:34" x14ac:dyDescent="0.35">
      <c r="C460" s="5"/>
      <c r="D460" s="5"/>
      <c r="T460" s="6"/>
      <c r="U460" s="6"/>
      <c r="V460" s="6"/>
      <c r="W460" s="7" t="str">
        <f t="shared" si="14"/>
        <v/>
      </c>
      <c r="X460" s="8" t="str">
        <f t="shared" si="15"/>
        <v/>
      </c>
      <c r="AG460" s="9"/>
      <c r="AH460" s="10"/>
    </row>
    <row r="461" spans="3:34" x14ac:dyDescent="0.35">
      <c r="C461" s="5"/>
      <c r="D461" s="5"/>
      <c r="T461" s="6"/>
      <c r="U461" s="6"/>
      <c r="V461" s="6"/>
      <c r="W461" s="7" t="str">
        <f t="shared" si="14"/>
        <v/>
      </c>
      <c r="X461" s="8" t="str">
        <f t="shared" si="15"/>
        <v/>
      </c>
      <c r="AG461" s="9"/>
      <c r="AH461" s="10"/>
    </row>
    <row r="462" spans="3:34" x14ac:dyDescent="0.35">
      <c r="C462" s="5"/>
      <c r="D462" s="5"/>
      <c r="T462" s="6"/>
      <c r="U462" s="6"/>
      <c r="V462" s="6"/>
      <c r="W462" s="7" t="str">
        <f t="shared" si="14"/>
        <v/>
      </c>
      <c r="X462" s="8" t="str">
        <f t="shared" si="15"/>
        <v/>
      </c>
      <c r="AG462" s="9"/>
      <c r="AH462" s="10"/>
    </row>
    <row r="463" spans="3:34" x14ac:dyDescent="0.35">
      <c r="C463" s="5"/>
      <c r="D463" s="5"/>
      <c r="T463" s="6"/>
      <c r="U463" s="6"/>
      <c r="V463" s="6"/>
      <c r="W463" s="7" t="str">
        <f t="shared" si="14"/>
        <v/>
      </c>
      <c r="X463" s="8" t="str">
        <f t="shared" si="15"/>
        <v/>
      </c>
      <c r="AG463" s="9"/>
      <c r="AH463" s="10"/>
    </row>
    <row r="464" spans="3:34" x14ac:dyDescent="0.35">
      <c r="C464" s="5"/>
      <c r="D464" s="5"/>
      <c r="T464" s="6"/>
      <c r="U464" s="6"/>
      <c r="V464" s="6"/>
      <c r="W464" s="7" t="str">
        <f t="shared" si="14"/>
        <v/>
      </c>
      <c r="X464" s="8" t="str">
        <f t="shared" si="15"/>
        <v/>
      </c>
      <c r="AG464" s="9"/>
      <c r="AH464" s="10"/>
    </row>
    <row r="465" spans="3:34" x14ac:dyDescent="0.35">
      <c r="C465" s="5"/>
      <c r="D465" s="5"/>
      <c r="T465" s="6"/>
      <c r="U465" s="6"/>
      <c r="V465" s="6"/>
      <c r="W465" s="7" t="str">
        <f t="shared" si="14"/>
        <v/>
      </c>
      <c r="X465" s="8" t="str">
        <f t="shared" si="15"/>
        <v/>
      </c>
      <c r="AG465" s="9"/>
      <c r="AH465" s="10"/>
    </row>
    <row r="466" spans="3:34" x14ac:dyDescent="0.35">
      <c r="C466" s="5"/>
      <c r="D466" s="5"/>
      <c r="T466" s="6"/>
      <c r="U466" s="6"/>
      <c r="V466" s="6"/>
      <c r="W466" s="7" t="str">
        <f t="shared" si="14"/>
        <v/>
      </c>
      <c r="X466" s="8" t="str">
        <f t="shared" si="15"/>
        <v/>
      </c>
      <c r="AG466" s="9"/>
      <c r="AH466" s="10"/>
    </row>
    <row r="467" spans="3:34" x14ac:dyDescent="0.35">
      <c r="C467" s="5"/>
      <c r="D467" s="5"/>
      <c r="T467" s="6"/>
      <c r="U467" s="6"/>
      <c r="V467" s="6"/>
      <c r="W467" s="7" t="str">
        <f t="shared" si="14"/>
        <v/>
      </c>
      <c r="X467" s="8" t="str">
        <f t="shared" si="15"/>
        <v/>
      </c>
      <c r="AG467" s="9"/>
      <c r="AH467" s="10"/>
    </row>
    <row r="468" spans="3:34" x14ac:dyDescent="0.35">
      <c r="C468" s="5"/>
      <c r="D468" s="5"/>
      <c r="T468" s="6"/>
      <c r="U468" s="6"/>
      <c r="V468" s="6"/>
      <c r="W468" s="7" t="str">
        <f t="shared" si="14"/>
        <v/>
      </c>
      <c r="X468" s="8" t="str">
        <f t="shared" si="15"/>
        <v/>
      </c>
      <c r="AG468" s="9"/>
      <c r="AH468" s="10"/>
    </row>
    <row r="469" spans="3:34" x14ac:dyDescent="0.35">
      <c r="C469" s="5"/>
      <c r="D469" s="5"/>
      <c r="T469" s="6"/>
      <c r="U469" s="6"/>
      <c r="V469" s="6"/>
      <c r="W469" s="7" t="str">
        <f t="shared" si="14"/>
        <v/>
      </c>
      <c r="X469" s="8" t="str">
        <f t="shared" si="15"/>
        <v/>
      </c>
      <c r="AG469" s="9"/>
      <c r="AH469" s="10"/>
    </row>
    <row r="470" spans="3:34" x14ac:dyDescent="0.35">
      <c r="C470" s="5"/>
      <c r="D470" s="5"/>
      <c r="T470" s="6"/>
      <c r="U470" s="6"/>
      <c r="V470" s="6"/>
      <c r="W470" s="7" t="str">
        <f t="shared" si="14"/>
        <v/>
      </c>
      <c r="X470" s="8" t="str">
        <f t="shared" si="15"/>
        <v/>
      </c>
      <c r="AG470" s="9"/>
      <c r="AH470" s="10"/>
    </row>
    <row r="471" spans="3:34" x14ac:dyDescent="0.35">
      <c r="C471" s="5"/>
      <c r="D471" s="5"/>
      <c r="T471" s="6"/>
      <c r="U471" s="6"/>
      <c r="V471" s="6"/>
      <c r="W471" s="7" t="str">
        <f t="shared" si="14"/>
        <v/>
      </c>
      <c r="X471" s="8" t="str">
        <f t="shared" si="15"/>
        <v/>
      </c>
      <c r="AG471" s="9"/>
      <c r="AH471" s="10"/>
    </row>
    <row r="472" spans="3:34" x14ac:dyDescent="0.35">
      <c r="C472" s="5"/>
      <c r="D472" s="5"/>
      <c r="T472" s="6"/>
      <c r="U472" s="6"/>
      <c r="V472" s="6"/>
      <c r="W472" s="7" t="str">
        <f t="shared" si="14"/>
        <v/>
      </c>
      <c r="X472" s="8" t="str">
        <f t="shared" si="15"/>
        <v/>
      </c>
      <c r="AG472" s="9"/>
      <c r="AH472" s="10"/>
    </row>
    <row r="473" spans="3:34" x14ac:dyDescent="0.35">
      <c r="C473" s="5"/>
      <c r="D473" s="5"/>
      <c r="T473" s="6"/>
      <c r="U473" s="6"/>
      <c r="V473" s="6"/>
      <c r="W473" s="7" t="str">
        <f t="shared" si="14"/>
        <v/>
      </c>
      <c r="X473" s="8" t="str">
        <f t="shared" si="15"/>
        <v/>
      </c>
      <c r="AG473" s="9"/>
      <c r="AH473" s="10"/>
    </row>
    <row r="474" spans="3:34" x14ac:dyDescent="0.35">
      <c r="C474" s="5"/>
      <c r="D474" s="5"/>
      <c r="T474" s="6"/>
      <c r="U474" s="6"/>
      <c r="V474" s="6"/>
      <c r="W474" s="7" t="str">
        <f t="shared" si="14"/>
        <v/>
      </c>
      <c r="X474" s="8" t="str">
        <f t="shared" si="15"/>
        <v/>
      </c>
      <c r="AG474" s="9"/>
      <c r="AH474" s="10"/>
    </row>
    <row r="475" spans="3:34" x14ac:dyDescent="0.35">
      <c r="C475" s="5"/>
      <c r="D475" s="5"/>
      <c r="T475" s="6"/>
      <c r="U475" s="6"/>
      <c r="V475" s="6"/>
      <c r="W475" s="7" t="str">
        <f t="shared" si="14"/>
        <v/>
      </c>
      <c r="X475" s="8" t="str">
        <f t="shared" si="15"/>
        <v/>
      </c>
      <c r="AG475" s="9"/>
      <c r="AH475" s="10"/>
    </row>
    <row r="476" spans="3:34" x14ac:dyDescent="0.35">
      <c r="C476" s="5"/>
      <c r="D476" s="5"/>
      <c r="T476" s="6"/>
      <c r="U476" s="6"/>
      <c r="V476" s="6"/>
      <c r="W476" s="7" t="str">
        <f t="shared" si="14"/>
        <v/>
      </c>
      <c r="X476" s="8" t="str">
        <f t="shared" si="15"/>
        <v/>
      </c>
      <c r="AG476" s="9"/>
      <c r="AH476" s="10"/>
    </row>
    <row r="477" spans="3:34" x14ac:dyDescent="0.35">
      <c r="C477" s="5"/>
      <c r="D477" s="5"/>
      <c r="T477" s="6"/>
      <c r="U477" s="6"/>
      <c r="V477" s="6"/>
      <c r="W477" s="7" t="str">
        <f t="shared" si="14"/>
        <v/>
      </c>
      <c r="X477" s="8" t="str">
        <f t="shared" si="15"/>
        <v/>
      </c>
      <c r="AG477" s="9"/>
      <c r="AH477" s="10"/>
    </row>
    <row r="478" spans="3:34" x14ac:dyDescent="0.35">
      <c r="C478" s="5"/>
      <c r="D478" s="5"/>
      <c r="T478" s="6"/>
      <c r="U478" s="6"/>
      <c r="V478" s="6"/>
      <c r="W478" s="7" t="str">
        <f t="shared" si="14"/>
        <v/>
      </c>
      <c r="X478" s="8" t="str">
        <f t="shared" si="15"/>
        <v/>
      </c>
      <c r="AG478" s="9"/>
      <c r="AH478" s="10"/>
    </row>
    <row r="479" spans="3:34" x14ac:dyDescent="0.35">
      <c r="C479" s="5"/>
      <c r="D479" s="5"/>
      <c r="T479" s="6"/>
      <c r="U479" s="6"/>
      <c r="V479" s="6"/>
      <c r="W479" s="7" t="str">
        <f t="shared" si="14"/>
        <v/>
      </c>
      <c r="X479" s="8" t="str">
        <f t="shared" si="15"/>
        <v/>
      </c>
      <c r="AG479" s="9"/>
      <c r="AH479" s="10"/>
    </row>
    <row r="480" spans="3:34" x14ac:dyDescent="0.35">
      <c r="C480" s="5"/>
      <c r="D480" s="5"/>
      <c r="T480" s="6"/>
      <c r="U480" s="6"/>
      <c r="V480" s="6"/>
      <c r="W480" s="7" t="str">
        <f t="shared" si="14"/>
        <v/>
      </c>
      <c r="X480" s="8" t="str">
        <f t="shared" si="15"/>
        <v/>
      </c>
      <c r="AG480" s="9"/>
      <c r="AH480" s="10"/>
    </row>
    <row r="481" spans="3:34" x14ac:dyDescent="0.35">
      <c r="C481" s="5"/>
      <c r="D481" s="5"/>
      <c r="T481" s="6"/>
      <c r="U481" s="6"/>
      <c r="V481" s="6"/>
      <c r="W481" s="7" t="str">
        <f t="shared" si="14"/>
        <v/>
      </c>
      <c r="X481" s="8" t="str">
        <f t="shared" si="15"/>
        <v/>
      </c>
      <c r="AG481" s="9"/>
      <c r="AH481" s="10"/>
    </row>
    <row r="482" spans="3:34" x14ac:dyDescent="0.35">
      <c r="C482" s="5"/>
      <c r="D482" s="5"/>
      <c r="T482" s="6"/>
      <c r="U482" s="6"/>
      <c r="V482" s="6"/>
      <c r="W482" s="7" t="str">
        <f t="shared" si="14"/>
        <v/>
      </c>
      <c r="X482" s="8" t="str">
        <f t="shared" si="15"/>
        <v/>
      </c>
      <c r="AG482" s="9"/>
      <c r="AH482" s="10"/>
    </row>
    <row r="483" spans="3:34" x14ac:dyDescent="0.35">
      <c r="C483" s="5"/>
      <c r="D483" s="5"/>
      <c r="T483" s="6"/>
      <c r="U483" s="6"/>
      <c r="V483" s="6"/>
      <c r="W483" s="7" t="str">
        <f t="shared" si="14"/>
        <v/>
      </c>
      <c r="X483" s="8" t="str">
        <f t="shared" si="15"/>
        <v/>
      </c>
      <c r="AG483" s="9"/>
      <c r="AH483" s="10"/>
    </row>
    <row r="484" spans="3:34" x14ac:dyDescent="0.35">
      <c r="C484" s="5"/>
      <c r="D484" s="5"/>
      <c r="T484" s="6"/>
      <c r="U484" s="6"/>
      <c r="V484" s="6"/>
      <c r="W484" s="7" t="str">
        <f t="shared" si="14"/>
        <v/>
      </c>
      <c r="X484" s="8" t="str">
        <f t="shared" si="15"/>
        <v/>
      </c>
      <c r="AG484" s="9"/>
      <c r="AH484" s="10"/>
    </row>
    <row r="485" spans="3:34" x14ac:dyDescent="0.35">
      <c r="C485" s="5"/>
      <c r="D485" s="5"/>
      <c r="T485" s="6"/>
      <c r="U485" s="6"/>
      <c r="V485" s="6"/>
      <c r="W485" s="7" t="str">
        <f t="shared" si="14"/>
        <v/>
      </c>
      <c r="X485" s="8" t="str">
        <f t="shared" si="15"/>
        <v/>
      </c>
      <c r="AG485" s="9"/>
      <c r="AH485" s="10"/>
    </row>
    <row r="486" spans="3:34" x14ac:dyDescent="0.35">
      <c r="C486" s="5"/>
      <c r="D486" s="5"/>
      <c r="T486" s="6"/>
      <c r="U486" s="6"/>
      <c r="V486" s="6"/>
      <c r="W486" s="7" t="str">
        <f t="shared" si="14"/>
        <v/>
      </c>
      <c r="X486" s="8" t="str">
        <f t="shared" si="15"/>
        <v/>
      </c>
      <c r="AG486" s="9"/>
      <c r="AH486" s="10"/>
    </row>
    <row r="487" spans="3:34" x14ac:dyDescent="0.35">
      <c r="C487" s="5"/>
      <c r="D487" s="5"/>
      <c r="T487" s="6"/>
      <c r="U487" s="6"/>
      <c r="V487" s="6"/>
      <c r="W487" s="7" t="str">
        <f t="shared" si="14"/>
        <v/>
      </c>
      <c r="X487" s="8" t="str">
        <f t="shared" si="15"/>
        <v/>
      </c>
      <c r="AG487" s="9"/>
      <c r="AH487" s="10"/>
    </row>
    <row r="488" spans="3:34" x14ac:dyDescent="0.35">
      <c r="C488" s="5"/>
      <c r="D488" s="5"/>
      <c r="T488" s="6"/>
      <c r="U488" s="6"/>
      <c r="V488" s="6"/>
      <c r="W488" s="7" t="str">
        <f t="shared" si="14"/>
        <v/>
      </c>
      <c r="X488" s="8" t="str">
        <f t="shared" si="15"/>
        <v/>
      </c>
      <c r="AG488" s="9"/>
      <c r="AH488" s="10"/>
    </row>
    <row r="489" spans="3:34" x14ac:dyDescent="0.35">
      <c r="C489" s="5"/>
      <c r="D489" s="5"/>
      <c r="T489" s="6"/>
      <c r="U489" s="6"/>
      <c r="V489" s="6"/>
      <c r="W489" s="7" t="str">
        <f t="shared" si="14"/>
        <v/>
      </c>
      <c r="X489" s="8" t="str">
        <f t="shared" si="15"/>
        <v/>
      </c>
      <c r="AG489" s="9"/>
      <c r="AH489" s="10"/>
    </row>
    <row r="490" spans="3:34" x14ac:dyDescent="0.35">
      <c r="C490" s="5"/>
      <c r="D490" s="5"/>
      <c r="T490" s="6"/>
      <c r="U490" s="6"/>
      <c r="V490" s="6"/>
      <c r="W490" s="7" t="str">
        <f t="shared" si="14"/>
        <v/>
      </c>
      <c r="X490" s="8" t="str">
        <f t="shared" si="15"/>
        <v/>
      </c>
      <c r="AG490" s="9"/>
      <c r="AH490" s="10"/>
    </row>
    <row r="491" spans="3:34" x14ac:dyDescent="0.35">
      <c r="C491" s="5"/>
      <c r="D491" s="5"/>
      <c r="T491" s="6"/>
      <c r="U491" s="6"/>
      <c r="V491" s="6"/>
      <c r="W491" s="7" t="str">
        <f t="shared" si="14"/>
        <v/>
      </c>
      <c r="X491" s="8" t="str">
        <f t="shared" si="15"/>
        <v/>
      </c>
      <c r="AG491" s="9"/>
      <c r="AH491" s="10"/>
    </row>
    <row r="492" spans="3:34" x14ac:dyDescent="0.35">
      <c r="C492" s="5"/>
      <c r="D492" s="5"/>
      <c r="T492" s="6"/>
      <c r="U492" s="6"/>
      <c r="V492" s="6"/>
      <c r="W492" s="7" t="str">
        <f t="shared" si="14"/>
        <v/>
      </c>
      <c r="X492" s="8" t="str">
        <f t="shared" si="15"/>
        <v/>
      </c>
      <c r="AG492" s="9"/>
      <c r="AH492" s="10"/>
    </row>
    <row r="493" spans="3:34" x14ac:dyDescent="0.35">
      <c r="C493" s="5"/>
      <c r="D493" s="5"/>
      <c r="T493" s="6"/>
      <c r="U493" s="6"/>
      <c r="V493" s="6"/>
      <c r="W493" s="7" t="str">
        <f t="shared" si="14"/>
        <v/>
      </c>
      <c r="X493" s="8" t="str">
        <f t="shared" si="15"/>
        <v/>
      </c>
      <c r="AG493" s="9"/>
      <c r="AH493" s="10"/>
    </row>
    <row r="494" spans="3:34" x14ac:dyDescent="0.35">
      <c r="C494" s="5"/>
      <c r="D494" s="5"/>
      <c r="T494" s="6"/>
      <c r="U494" s="6"/>
      <c r="V494" s="6"/>
      <c r="W494" s="7" t="str">
        <f t="shared" si="14"/>
        <v/>
      </c>
      <c r="X494" s="8" t="str">
        <f t="shared" si="15"/>
        <v/>
      </c>
      <c r="AG494" s="9"/>
      <c r="AH494" s="10"/>
    </row>
    <row r="495" spans="3:34" x14ac:dyDescent="0.35">
      <c r="C495" s="5"/>
      <c r="D495" s="5"/>
      <c r="T495" s="6"/>
      <c r="U495" s="6"/>
      <c r="V495" s="6"/>
      <c r="W495" s="7" t="str">
        <f t="shared" si="14"/>
        <v/>
      </c>
      <c r="X495" s="8" t="str">
        <f t="shared" si="15"/>
        <v/>
      </c>
      <c r="AG495" s="9"/>
      <c r="AH495" s="10"/>
    </row>
    <row r="496" spans="3:34" x14ac:dyDescent="0.35">
      <c r="C496" s="5"/>
      <c r="D496" s="5"/>
      <c r="T496" s="6"/>
      <c r="U496" s="6"/>
      <c r="V496" s="6"/>
      <c r="W496" s="7" t="str">
        <f t="shared" si="14"/>
        <v/>
      </c>
      <c r="X496" s="8" t="str">
        <f t="shared" si="15"/>
        <v/>
      </c>
      <c r="AG496" s="9"/>
      <c r="AH496" s="10"/>
    </row>
    <row r="497" spans="3:34" x14ac:dyDescent="0.35">
      <c r="C497" s="5"/>
      <c r="D497" s="5"/>
      <c r="T497" s="6"/>
      <c r="U497" s="6"/>
      <c r="V497" s="6"/>
      <c r="W497" s="7" t="str">
        <f t="shared" si="14"/>
        <v/>
      </c>
      <c r="X497" s="8" t="str">
        <f t="shared" si="15"/>
        <v/>
      </c>
      <c r="AG497" s="9"/>
      <c r="AH497" s="10"/>
    </row>
    <row r="498" spans="3:34" x14ac:dyDescent="0.35">
      <c r="C498" s="5"/>
      <c r="D498" s="5"/>
      <c r="T498" s="6"/>
      <c r="U498" s="6"/>
      <c r="V498" s="6"/>
      <c r="W498" s="7" t="str">
        <f t="shared" si="14"/>
        <v/>
      </c>
      <c r="X498" s="8" t="str">
        <f t="shared" si="15"/>
        <v/>
      </c>
      <c r="AG498" s="9"/>
      <c r="AH498" s="10"/>
    </row>
    <row r="499" spans="3:34" x14ac:dyDescent="0.35">
      <c r="C499" s="5"/>
      <c r="D499" s="5"/>
      <c r="T499" s="6"/>
      <c r="U499" s="6"/>
      <c r="V499" s="6"/>
      <c r="W499" s="7" t="str">
        <f t="shared" si="14"/>
        <v/>
      </c>
      <c r="X499" s="8" t="str">
        <f t="shared" si="15"/>
        <v/>
      </c>
      <c r="AG499" s="9"/>
      <c r="AH499" s="10"/>
    </row>
    <row r="500" spans="3:34" x14ac:dyDescent="0.35">
      <c r="C500" s="5"/>
      <c r="D500" s="5"/>
      <c r="T500" s="6"/>
      <c r="U500" s="6"/>
      <c r="V500" s="6"/>
      <c r="W500" s="7" t="str">
        <f t="shared" si="14"/>
        <v/>
      </c>
      <c r="X500" s="8" t="str">
        <f t="shared" si="15"/>
        <v/>
      </c>
      <c r="AG500" s="9"/>
      <c r="AH500" s="10"/>
    </row>
    <row r="501" spans="3:34" x14ac:dyDescent="0.35">
      <c r="C501" s="5"/>
      <c r="D501" s="5"/>
      <c r="T501" s="6"/>
      <c r="U501" s="6"/>
      <c r="V501" s="6"/>
      <c r="W501" s="7" t="str">
        <f t="shared" si="14"/>
        <v/>
      </c>
      <c r="X501" s="8" t="str">
        <f t="shared" si="15"/>
        <v/>
      </c>
      <c r="AG501" s="9"/>
      <c r="AH501" s="10"/>
    </row>
    <row r="502" spans="3:34" x14ac:dyDescent="0.35">
      <c r="C502" s="5"/>
      <c r="D502" s="5"/>
      <c r="T502" s="6"/>
      <c r="U502" s="6"/>
      <c r="V502" s="6"/>
      <c r="W502" s="7" t="str">
        <f t="shared" si="14"/>
        <v/>
      </c>
      <c r="X502" s="8" t="str">
        <f t="shared" si="15"/>
        <v/>
      </c>
      <c r="AG502" s="9"/>
      <c r="AH502" s="10"/>
    </row>
    <row r="503" spans="3:34" x14ac:dyDescent="0.35">
      <c r="C503" s="5"/>
      <c r="D503" s="5"/>
      <c r="T503" s="6"/>
      <c r="U503" s="6"/>
      <c r="V503" s="6"/>
      <c r="W503" s="7" t="str">
        <f t="shared" si="14"/>
        <v/>
      </c>
      <c r="X503" s="8" t="str">
        <f t="shared" si="15"/>
        <v/>
      </c>
      <c r="AG503" s="9"/>
      <c r="AH503" s="10"/>
    </row>
    <row r="504" spans="3:34" x14ac:dyDescent="0.35">
      <c r="C504" s="5"/>
      <c r="D504" s="5"/>
      <c r="T504" s="6"/>
      <c r="U504" s="6"/>
      <c r="V504" s="6"/>
      <c r="W504" s="7" t="str">
        <f t="shared" si="14"/>
        <v/>
      </c>
      <c r="X504" s="8" t="str">
        <f t="shared" si="15"/>
        <v/>
      </c>
      <c r="AG504" s="9"/>
      <c r="AH504" s="10"/>
    </row>
    <row r="505" spans="3:34" x14ac:dyDescent="0.35">
      <c r="C505" s="5"/>
      <c r="D505" s="5"/>
      <c r="T505" s="6"/>
      <c r="U505" s="6"/>
      <c r="V505" s="6"/>
      <c r="W505" s="7" t="str">
        <f t="shared" si="14"/>
        <v/>
      </c>
      <c r="X505" s="8" t="str">
        <f t="shared" si="15"/>
        <v/>
      </c>
      <c r="AG505" s="9"/>
      <c r="AH505" s="10"/>
    </row>
    <row r="506" spans="3:34" x14ac:dyDescent="0.35">
      <c r="C506" s="5"/>
      <c r="D506" s="5"/>
      <c r="T506" s="6"/>
      <c r="U506" s="6"/>
      <c r="V506" s="6"/>
      <c r="W506" s="7" t="str">
        <f t="shared" si="14"/>
        <v/>
      </c>
      <c r="X506" s="8" t="str">
        <f t="shared" si="15"/>
        <v/>
      </c>
      <c r="AG506" s="9"/>
      <c r="AH506" s="10"/>
    </row>
    <row r="507" spans="3:34" x14ac:dyDescent="0.35">
      <c r="C507" s="5"/>
      <c r="D507" s="5"/>
      <c r="T507" s="6"/>
      <c r="U507" s="6"/>
      <c r="V507" s="6"/>
      <c r="W507" s="7" t="str">
        <f t="shared" si="14"/>
        <v/>
      </c>
      <c r="X507" s="8" t="str">
        <f t="shared" si="15"/>
        <v/>
      </c>
      <c r="AG507" s="9"/>
      <c r="AH507" s="10"/>
    </row>
    <row r="508" spans="3:34" x14ac:dyDescent="0.35">
      <c r="C508" s="5"/>
      <c r="D508" s="5"/>
      <c r="T508" s="6"/>
      <c r="U508" s="6"/>
      <c r="V508" s="6"/>
      <c r="W508" s="7" t="str">
        <f t="shared" si="14"/>
        <v/>
      </c>
      <c r="X508" s="8" t="str">
        <f t="shared" si="15"/>
        <v/>
      </c>
      <c r="AG508" s="9"/>
      <c r="AH508" s="10"/>
    </row>
    <row r="509" spans="3:34" x14ac:dyDescent="0.35">
      <c r="C509" s="5"/>
      <c r="D509" s="5"/>
      <c r="T509" s="6"/>
      <c r="U509" s="6"/>
      <c r="V509" s="6"/>
      <c r="W509" s="7" t="str">
        <f t="shared" si="14"/>
        <v/>
      </c>
      <c r="X509" s="8" t="str">
        <f t="shared" si="15"/>
        <v/>
      </c>
      <c r="AG509" s="9"/>
      <c r="AH509" s="10"/>
    </row>
    <row r="510" spans="3:34" x14ac:dyDescent="0.35">
      <c r="C510" s="5"/>
      <c r="D510" s="5"/>
      <c r="T510" s="6"/>
      <c r="U510" s="6"/>
      <c r="V510" s="6"/>
      <c r="W510" s="7" t="str">
        <f t="shared" si="14"/>
        <v/>
      </c>
      <c r="X510" s="8" t="str">
        <f t="shared" si="15"/>
        <v/>
      </c>
      <c r="AG510" s="9"/>
      <c r="AH510" s="10"/>
    </row>
    <row r="511" spans="3:34" x14ac:dyDescent="0.35">
      <c r="C511" s="5"/>
      <c r="D511" s="5"/>
      <c r="T511" s="6"/>
      <c r="U511" s="6"/>
      <c r="V511" s="6"/>
      <c r="W511" s="7" t="str">
        <f t="shared" si="14"/>
        <v/>
      </c>
      <c r="X511" s="8" t="str">
        <f t="shared" si="15"/>
        <v/>
      </c>
      <c r="AG511" s="9"/>
      <c r="AH511" s="10"/>
    </row>
    <row r="512" spans="3:34" x14ac:dyDescent="0.35">
      <c r="C512" s="5"/>
      <c r="D512" s="5"/>
      <c r="T512" s="6"/>
      <c r="U512" s="6"/>
      <c r="V512" s="6"/>
      <c r="W512" s="7" t="str">
        <f t="shared" si="14"/>
        <v/>
      </c>
      <c r="X512" s="8" t="str">
        <f t="shared" si="15"/>
        <v/>
      </c>
      <c r="AG512" s="9"/>
      <c r="AH512" s="10"/>
    </row>
    <row r="513" spans="3:34" x14ac:dyDescent="0.35">
      <c r="C513" s="5"/>
      <c r="D513" s="5"/>
      <c r="T513" s="6"/>
      <c r="U513" s="6"/>
      <c r="V513" s="6"/>
      <c r="W513" s="7" t="str">
        <f t="shared" si="14"/>
        <v/>
      </c>
      <c r="X513" s="8" t="str">
        <f t="shared" si="15"/>
        <v/>
      </c>
      <c r="AG513" s="9"/>
      <c r="AH513" s="10"/>
    </row>
    <row r="514" spans="3:34" x14ac:dyDescent="0.35">
      <c r="C514" s="5"/>
      <c r="D514" s="5"/>
      <c r="T514" s="6"/>
      <c r="U514" s="6"/>
      <c r="V514" s="6"/>
      <c r="W514" s="7" t="str">
        <f t="shared" ref="W514:W577" si="16">IF($U514&gt;0,$U514-$V514,"")</f>
        <v/>
      </c>
      <c r="X514" s="8" t="str">
        <f t="shared" ref="X514:X577" si="17">IF($U514&gt;0,($U514-$V514)/$U514,"")</f>
        <v/>
      </c>
      <c r="AG514" s="9"/>
      <c r="AH514" s="10"/>
    </row>
    <row r="515" spans="3:34" x14ac:dyDescent="0.35">
      <c r="C515" s="5"/>
      <c r="D515" s="5"/>
      <c r="T515" s="6"/>
      <c r="U515" s="6"/>
      <c r="V515" s="6"/>
      <c r="W515" s="7" t="str">
        <f t="shared" si="16"/>
        <v/>
      </c>
      <c r="X515" s="8" t="str">
        <f t="shared" si="17"/>
        <v/>
      </c>
      <c r="AG515" s="9"/>
      <c r="AH515" s="10"/>
    </row>
    <row r="516" spans="3:34" x14ac:dyDescent="0.35">
      <c r="C516" s="5"/>
      <c r="D516" s="5"/>
      <c r="T516" s="6"/>
      <c r="U516" s="6"/>
      <c r="V516" s="6"/>
      <c r="W516" s="7" t="str">
        <f t="shared" si="16"/>
        <v/>
      </c>
      <c r="X516" s="8" t="str">
        <f t="shared" si="17"/>
        <v/>
      </c>
      <c r="AG516" s="9"/>
      <c r="AH516" s="10"/>
    </row>
    <row r="517" spans="3:34" x14ac:dyDescent="0.35">
      <c r="C517" s="5"/>
      <c r="D517" s="5"/>
      <c r="T517" s="6"/>
      <c r="U517" s="6"/>
      <c r="V517" s="6"/>
      <c r="W517" s="7" t="str">
        <f t="shared" si="16"/>
        <v/>
      </c>
      <c r="X517" s="8" t="str">
        <f t="shared" si="17"/>
        <v/>
      </c>
      <c r="AG517" s="9"/>
      <c r="AH517" s="10"/>
    </row>
    <row r="518" spans="3:34" x14ac:dyDescent="0.35">
      <c r="C518" s="5"/>
      <c r="D518" s="5"/>
      <c r="T518" s="6"/>
      <c r="U518" s="6"/>
      <c r="V518" s="6"/>
      <c r="W518" s="7" t="str">
        <f t="shared" si="16"/>
        <v/>
      </c>
      <c r="X518" s="8" t="str">
        <f t="shared" si="17"/>
        <v/>
      </c>
      <c r="AG518" s="9"/>
      <c r="AH518" s="10"/>
    </row>
    <row r="519" spans="3:34" x14ac:dyDescent="0.35">
      <c r="C519" s="5"/>
      <c r="D519" s="5"/>
      <c r="T519" s="6"/>
      <c r="U519" s="6"/>
      <c r="V519" s="6"/>
      <c r="W519" s="7" t="str">
        <f t="shared" si="16"/>
        <v/>
      </c>
      <c r="X519" s="8" t="str">
        <f t="shared" si="17"/>
        <v/>
      </c>
      <c r="AG519" s="9"/>
      <c r="AH519" s="10"/>
    </row>
    <row r="520" spans="3:34" x14ac:dyDescent="0.35">
      <c r="C520" s="5"/>
      <c r="D520" s="5"/>
      <c r="T520" s="6"/>
      <c r="U520" s="6"/>
      <c r="V520" s="6"/>
      <c r="W520" s="7" t="str">
        <f t="shared" si="16"/>
        <v/>
      </c>
      <c r="X520" s="8" t="str">
        <f t="shared" si="17"/>
        <v/>
      </c>
      <c r="AG520" s="9"/>
      <c r="AH520" s="10"/>
    </row>
    <row r="521" spans="3:34" x14ac:dyDescent="0.35">
      <c r="C521" s="5"/>
      <c r="D521" s="5"/>
      <c r="T521" s="6"/>
      <c r="U521" s="6"/>
      <c r="V521" s="6"/>
      <c r="W521" s="7" t="str">
        <f t="shared" si="16"/>
        <v/>
      </c>
      <c r="X521" s="8" t="str">
        <f t="shared" si="17"/>
        <v/>
      </c>
      <c r="AG521" s="9"/>
      <c r="AH521" s="10"/>
    </row>
    <row r="522" spans="3:34" x14ac:dyDescent="0.35">
      <c r="C522" s="5"/>
      <c r="D522" s="5"/>
      <c r="T522" s="6"/>
      <c r="U522" s="6"/>
      <c r="V522" s="6"/>
      <c r="W522" s="7" t="str">
        <f t="shared" si="16"/>
        <v/>
      </c>
      <c r="X522" s="8" t="str">
        <f t="shared" si="17"/>
        <v/>
      </c>
      <c r="AG522" s="9"/>
      <c r="AH522" s="10"/>
    </row>
    <row r="523" spans="3:34" x14ac:dyDescent="0.35">
      <c r="C523" s="5"/>
      <c r="D523" s="5"/>
      <c r="T523" s="6"/>
      <c r="U523" s="6"/>
      <c r="V523" s="6"/>
      <c r="W523" s="7" t="str">
        <f t="shared" si="16"/>
        <v/>
      </c>
      <c r="X523" s="8" t="str">
        <f t="shared" si="17"/>
        <v/>
      </c>
      <c r="AG523" s="9"/>
      <c r="AH523" s="10"/>
    </row>
    <row r="524" spans="3:34" x14ac:dyDescent="0.35">
      <c r="C524" s="5"/>
      <c r="D524" s="5"/>
      <c r="T524" s="6"/>
      <c r="U524" s="6"/>
      <c r="V524" s="6"/>
      <c r="W524" s="7" t="str">
        <f t="shared" si="16"/>
        <v/>
      </c>
      <c r="X524" s="8" t="str">
        <f t="shared" si="17"/>
        <v/>
      </c>
      <c r="AG524" s="9"/>
      <c r="AH524" s="10"/>
    </row>
    <row r="525" spans="3:34" x14ac:dyDescent="0.35">
      <c r="C525" s="5"/>
      <c r="D525" s="5"/>
      <c r="T525" s="6"/>
      <c r="U525" s="6"/>
      <c r="V525" s="6"/>
      <c r="W525" s="7" t="str">
        <f t="shared" si="16"/>
        <v/>
      </c>
      <c r="X525" s="8" t="str">
        <f t="shared" si="17"/>
        <v/>
      </c>
      <c r="AG525" s="9"/>
      <c r="AH525" s="10"/>
    </row>
    <row r="526" spans="3:34" x14ac:dyDescent="0.35">
      <c r="C526" s="5"/>
      <c r="D526" s="5"/>
      <c r="T526" s="6"/>
      <c r="U526" s="6"/>
      <c r="V526" s="6"/>
      <c r="W526" s="7" t="str">
        <f t="shared" si="16"/>
        <v/>
      </c>
      <c r="X526" s="8" t="str">
        <f t="shared" si="17"/>
        <v/>
      </c>
      <c r="AG526" s="9"/>
      <c r="AH526" s="10"/>
    </row>
    <row r="527" spans="3:34" x14ac:dyDescent="0.35">
      <c r="C527" s="5"/>
      <c r="D527" s="5"/>
      <c r="T527" s="6"/>
      <c r="U527" s="6"/>
      <c r="V527" s="6"/>
      <c r="W527" s="7" t="str">
        <f t="shared" si="16"/>
        <v/>
      </c>
      <c r="X527" s="8" t="str">
        <f t="shared" si="17"/>
        <v/>
      </c>
      <c r="AG527" s="9"/>
      <c r="AH527" s="10"/>
    </row>
    <row r="528" spans="3:34" x14ac:dyDescent="0.35">
      <c r="C528" s="5"/>
      <c r="D528" s="5"/>
      <c r="T528" s="6"/>
      <c r="U528" s="6"/>
      <c r="V528" s="6"/>
      <c r="W528" s="7" t="str">
        <f t="shared" si="16"/>
        <v/>
      </c>
      <c r="X528" s="8" t="str">
        <f t="shared" si="17"/>
        <v/>
      </c>
      <c r="AG528" s="9"/>
      <c r="AH528" s="10"/>
    </row>
    <row r="529" spans="3:34" x14ac:dyDescent="0.35">
      <c r="C529" s="5"/>
      <c r="D529" s="5"/>
      <c r="T529" s="6"/>
      <c r="U529" s="6"/>
      <c r="V529" s="6"/>
      <c r="W529" s="7" t="str">
        <f t="shared" si="16"/>
        <v/>
      </c>
      <c r="X529" s="8" t="str">
        <f t="shared" si="17"/>
        <v/>
      </c>
      <c r="AG529" s="9"/>
      <c r="AH529" s="10"/>
    </row>
    <row r="530" spans="3:34" x14ac:dyDescent="0.35">
      <c r="C530" s="5"/>
      <c r="D530" s="5"/>
      <c r="T530" s="6"/>
      <c r="U530" s="6"/>
      <c r="V530" s="6"/>
      <c r="W530" s="7" t="str">
        <f t="shared" si="16"/>
        <v/>
      </c>
      <c r="X530" s="8" t="str">
        <f t="shared" si="17"/>
        <v/>
      </c>
      <c r="AG530" s="9"/>
      <c r="AH530" s="10"/>
    </row>
    <row r="531" spans="3:34" x14ac:dyDescent="0.35">
      <c r="C531" s="5"/>
      <c r="D531" s="5"/>
      <c r="T531" s="6"/>
      <c r="U531" s="6"/>
      <c r="V531" s="6"/>
      <c r="W531" s="7" t="str">
        <f t="shared" si="16"/>
        <v/>
      </c>
      <c r="X531" s="8" t="str">
        <f t="shared" si="17"/>
        <v/>
      </c>
      <c r="AG531" s="9"/>
      <c r="AH531" s="10"/>
    </row>
    <row r="532" spans="3:34" x14ac:dyDescent="0.35">
      <c r="C532" s="5"/>
      <c r="D532" s="5"/>
      <c r="T532" s="6"/>
      <c r="U532" s="6"/>
      <c r="V532" s="6"/>
      <c r="W532" s="7" t="str">
        <f t="shared" si="16"/>
        <v/>
      </c>
      <c r="X532" s="8" t="str">
        <f t="shared" si="17"/>
        <v/>
      </c>
      <c r="AG532" s="9"/>
      <c r="AH532" s="10"/>
    </row>
    <row r="533" spans="3:34" x14ac:dyDescent="0.35">
      <c r="C533" s="5"/>
      <c r="D533" s="5"/>
      <c r="T533" s="6"/>
      <c r="U533" s="6"/>
      <c r="V533" s="6"/>
      <c r="W533" s="7" t="str">
        <f t="shared" si="16"/>
        <v/>
      </c>
      <c r="X533" s="8" t="str">
        <f t="shared" si="17"/>
        <v/>
      </c>
      <c r="AG533" s="9"/>
      <c r="AH533" s="10"/>
    </row>
    <row r="534" spans="3:34" x14ac:dyDescent="0.35">
      <c r="C534" s="5"/>
      <c r="D534" s="5"/>
      <c r="T534" s="6"/>
      <c r="U534" s="6"/>
      <c r="V534" s="6"/>
      <c r="W534" s="7" t="str">
        <f t="shared" si="16"/>
        <v/>
      </c>
      <c r="X534" s="8" t="str">
        <f t="shared" si="17"/>
        <v/>
      </c>
      <c r="AG534" s="9"/>
      <c r="AH534" s="10"/>
    </row>
    <row r="535" spans="3:34" x14ac:dyDescent="0.35">
      <c r="C535" s="5"/>
      <c r="D535" s="5"/>
      <c r="T535" s="6"/>
      <c r="U535" s="6"/>
      <c r="V535" s="6"/>
      <c r="W535" s="7" t="str">
        <f t="shared" si="16"/>
        <v/>
      </c>
      <c r="X535" s="8" t="str">
        <f t="shared" si="17"/>
        <v/>
      </c>
      <c r="AG535" s="9"/>
      <c r="AH535" s="10"/>
    </row>
    <row r="536" spans="3:34" x14ac:dyDescent="0.35">
      <c r="C536" s="5"/>
      <c r="D536" s="5"/>
      <c r="T536" s="6"/>
      <c r="U536" s="6"/>
      <c r="V536" s="6"/>
      <c r="W536" s="7" t="str">
        <f t="shared" si="16"/>
        <v/>
      </c>
      <c r="X536" s="8" t="str">
        <f t="shared" si="17"/>
        <v/>
      </c>
      <c r="AG536" s="9"/>
      <c r="AH536" s="10"/>
    </row>
    <row r="537" spans="3:34" x14ac:dyDescent="0.35">
      <c r="C537" s="5"/>
      <c r="D537" s="5"/>
      <c r="T537" s="6"/>
      <c r="U537" s="6"/>
      <c r="V537" s="6"/>
      <c r="W537" s="7" t="str">
        <f t="shared" si="16"/>
        <v/>
      </c>
      <c r="X537" s="8" t="str">
        <f t="shared" si="17"/>
        <v/>
      </c>
      <c r="AG537" s="9"/>
      <c r="AH537" s="10"/>
    </row>
    <row r="538" spans="3:34" x14ac:dyDescent="0.35">
      <c r="C538" s="5"/>
      <c r="D538" s="5"/>
      <c r="T538" s="6"/>
      <c r="U538" s="6"/>
      <c r="V538" s="6"/>
      <c r="W538" s="7" t="str">
        <f t="shared" si="16"/>
        <v/>
      </c>
      <c r="X538" s="8" t="str">
        <f t="shared" si="17"/>
        <v/>
      </c>
      <c r="AG538" s="9"/>
      <c r="AH538" s="10"/>
    </row>
    <row r="539" spans="3:34" x14ac:dyDescent="0.35">
      <c r="C539" s="5"/>
      <c r="D539" s="5"/>
      <c r="T539" s="6"/>
      <c r="U539" s="6"/>
      <c r="V539" s="6"/>
      <c r="W539" s="7" t="str">
        <f t="shared" si="16"/>
        <v/>
      </c>
      <c r="X539" s="8" t="str">
        <f t="shared" si="17"/>
        <v/>
      </c>
      <c r="AG539" s="9"/>
      <c r="AH539" s="10"/>
    </row>
    <row r="540" spans="3:34" x14ac:dyDescent="0.35">
      <c r="C540" s="5"/>
      <c r="D540" s="5"/>
      <c r="T540" s="6"/>
      <c r="U540" s="6"/>
      <c r="V540" s="6"/>
      <c r="W540" s="7" t="str">
        <f t="shared" si="16"/>
        <v/>
      </c>
      <c r="X540" s="8" t="str">
        <f t="shared" si="17"/>
        <v/>
      </c>
      <c r="AG540" s="9"/>
      <c r="AH540" s="10"/>
    </row>
    <row r="541" spans="3:34" x14ac:dyDescent="0.35">
      <c r="C541" s="5"/>
      <c r="D541" s="5"/>
      <c r="T541" s="6"/>
      <c r="U541" s="6"/>
      <c r="V541" s="6"/>
      <c r="W541" s="7" t="str">
        <f t="shared" si="16"/>
        <v/>
      </c>
      <c r="X541" s="8" t="str">
        <f t="shared" si="17"/>
        <v/>
      </c>
      <c r="AG541" s="9"/>
      <c r="AH541" s="10"/>
    </row>
    <row r="542" spans="3:34" x14ac:dyDescent="0.35">
      <c r="C542" s="5"/>
      <c r="D542" s="5"/>
      <c r="T542" s="6"/>
      <c r="U542" s="6"/>
      <c r="V542" s="6"/>
      <c r="W542" s="7" t="str">
        <f t="shared" si="16"/>
        <v/>
      </c>
      <c r="X542" s="8" t="str">
        <f t="shared" si="17"/>
        <v/>
      </c>
      <c r="AG542" s="9"/>
      <c r="AH542" s="10"/>
    </row>
    <row r="543" spans="3:34" x14ac:dyDescent="0.35">
      <c r="C543" s="5"/>
      <c r="D543" s="5"/>
      <c r="T543" s="6"/>
      <c r="U543" s="6"/>
      <c r="V543" s="6"/>
      <c r="W543" s="7" t="str">
        <f t="shared" si="16"/>
        <v/>
      </c>
      <c r="X543" s="8" t="str">
        <f t="shared" si="17"/>
        <v/>
      </c>
      <c r="AG543" s="9"/>
      <c r="AH543" s="10"/>
    </row>
    <row r="544" spans="3:34" x14ac:dyDescent="0.35">
      <c r="C544" s="5"/>
      <c r="D544" s="5"/>
      <c r="T544" s="6"/>
      <c r="U544" s="6"/>
      <c r="V544" s="6"/>
      <c r="W544" s="7" t="str">
        <f t="shared" si="16"/>
        <v/>
      </c>
      <c r="X544" s="8" t="str">
        <f t="shared" si="17"/>
        <v/>
      </c>
      <c r="AG544" s="9"/>
      <c r="AH544" s="10"/>
    </row>
    <row r="545" spans="3:34" x14ac:dyDescent="0.35">
      <c r="C545" s="5"/>
      <c r="D545" s="5"/>
      <c r="T545" s="6"/>
      <c r="U545" s="6"/>
      <c r="V545" s="6"/>
      <c r="W545" s="7" t="str">
        <f t="shared" si="16"/>
        <v/>
      </c>
      <c r="X545" s="8" t="str">
        <f t="shared" si="17"/>
        <v/>
      </c>
      <c r="AG545" s="9"/>
      <c r="AH545" s="10"/>
    </row>
    <row r="546" spans="3:34" x14ac:dyDescent="0.35">
      <c r="C546" s="5"/>
      <c r="D546" s="5"/>
      <c r="T546" s="6"/>
      <c r="U546" s="6"/>
      <c r="V546" s="6"/>
      <c r="W546" s="7" t="str">
        <f t="shared" si="16"/>
        <v/>
      </c>
      <c r="X546" s="8" t="str">
        <f t="shared" si="17"/>
        <v/>
      </c>
      <c r="AG546" s="9"/>
      <c r="AH546" s="10"/>
    </row>
    <row r="547" spans="3:34" x14ac:dyDescent="0.35">
      <c r="C547" s="5"/>
      <c r="D547" s="5"/>
      <c r="T547" s="6"/>
      <c r="U547" s="6"/>
      <c r="V547" s="6"/>
      <c r="W547" s="7" t="str">
        <f t="shared" si="16"/>
        <v/>
      </c>
      <c r="X547" s="8" t="str">
        <f t="shared" si="17"/>
        <v/>
      </c>
      <c r="AG547" s="9"/>
      <c r="AH547" s="10"/>
    </row>
    <row r="548" spans="3:34" x14ac:dyDescent="0.35">
      <c r="C548" s="5"/>
      <c r="D548" s="5"/>
      <c r="T548" s="6"/>
      <c r="U548" s="6"/>
      <c r="V548" s="6"/>
      <c r="W548" s="7" t="str">
        <f t="shared" si="16"/>
        <v/>
      </c>
      <c r="X548" s="8" t="str">
        <f t="shared" si="17"/>
        <v/>
      </c>
      <c r="AG548" s="9"/>
      <c r="AH548" s="10"/>
    </row>
    <row r="549" spans="3:34" x14ac:dyDescent="0.35">
      <c r="C549" s="5"/>
      <c r="D549" s="5"/>
      <c r="T549" s="6"/>
      <c r="U549" s="6"/>
      <c r="V549" s="6"/>
      <c r="W549" s="7" t="str">
        <f t="shared" si="16"/>
        <v/>
      </c>
      <c r="X549" s="8" t="str">
        <f t="shared" si="17"/>
        <v/>
      </c>
      <c r="AG549" s="9"/>
      <c r="AH549" s="10"/>
    </row>
    <row r="550" spans="3:34" x14ac:dyDescent="0.35">
      <c r="C550" s="5"/>
      <c r="D550" s="5"/>
      <c r="T550" s="6"/>
      <c r="U550" s="6"/>
      <c r="V550" s="6"/>
      <c r="W550" s="7" t="str">
        <f t="shared" si="16"/>
        <v/>
      </c>
      <c r="X550" s="8" t="str">
        <f t="shared" si="17"/>
        <v/>
      </c>
      <c r="AG550" s="9"/>
      <c r="AH550" s="10"/>
    </row>
    <row r="551" spans="3:34" x14ac:dyDescent="0.35">
      <c r="C551" s="5"/>
      <c r="D551" s="5"/>
      <c r="T551" s="6"/>
      <c r="U551" s="6"/>
      <c r="V551" s="6"/>
      <c r="W551" s="7" t="str">
        <f t="shared" si="16"/>
        <v/>
      </c>
      <c r="X551" s="8" t="str">
        <f t="shared" si="17"/>
        <v/>
      </c>
      <c r="AG551" s="9"/>
      <c r="AH551" s="10"/>
    </row>
    <row r="552" spans="3:34" x14ac:dyDescent="0.35">
      <c r="C552" s="5"/>
      <c r="D552" s="5"/>
      <c r="T552" s="6"/>
      <c r="U552" s="6"/>
      <c r="V552" s="6"/>
      <c r="W552" s="7" t="str">
        <f t="shared" si="16"/>
        <v/>
      </c>
      <c r="X552" s="8" t="str">
        <f t="shared" si="17"/>
        <v/>
      </c>
      <c r="AG552" s="9"/>
      <c r="AH552" s="10"/>
    </row>
    <row r="553" spans="3:34" x14ac:dyDescent="0.35">
      <c r="C553" s="5"/>
      <c r="D553" s="5"/>
      <c r="T553" s="6"/>
      <c r="U553" s="6"/>
      <c r="V553" s="6"/>
      <c r="W553" s="7" t="str">
        <f t="shared" si="16"/>
        <v/>
      </c>
      <c r="X553" s="8" t="str">
        <f t="shared" si="17"/>
        <v/>
      </c>
      <c r="AG553" s="9"/>
      <c r="AH553" s="10"/>
    </row>
    <row r="554" spans="3:34" x14ac:dyDescent="0.35">
      <c r="C554" s="5"/>
      <c r="D554" s="5"/>
      <c r="T554" s="6"/>
      <c r="U554" s="6"/>
      <c r="V554" s="6"/>
      <c r="W554" s="7" t="str">
        <f t="shared" si="16"/>
        <v/>
      </c>
      <c r="X554" s="8" t="str">
        <f t="shared" si="17"/>
        <v/>
      </c>
      <c r="AG554" s="9"/>
      <c r="AH554" s="10"/>
    </row>
    <row r="555" spans="3:34" x14ac:dyDescent="0.35">
      <c r="C555" s="5"/>
      <c r="D555" s="5"/>
      <c r="T555" s="6"/>
      <c r="U555" s="6"/>
      <c r="V555" s="6"/>
      <c r="W555" s="7" t="str">
        <f t="shared" si="16"/>
        <v/>
      </c>
      <c r="X555" s="8" t="str">
        <f t="shared" si="17"/>
        <v/>
      </c>
      <c r="AG555" s="9"/>
      <c r="AH555" s="10"/>
    </row>
    <row r="556" spans="3:34" x14ac:dyDescent="0.35">
      <c r="C556" s="5"/>
      <c r="D556" s="5"/>
      <c r="T556" s="6"/>
      <c r="U556" s="6"/>
      <c r="V556" s="6"/>
      <c r="W556" s="7" t="str">
        <f t="shared" si="16"/>
        <v/>
      </c>
      <c r="X556" s="8" t="str">
        <f t="shared" si="17"/>
        <v/>
      </c>
      <c r="AG556" s="9"/>
      <c r="AH556" s="10"/>
    </row>
    <row r="557" spans="3:34" x14ac:dyDescent="0.35">
      <c r="C557" s="5"/>
      <c r="D557" s="5"/>
      <c r="T557" s="6"/>
      <c r="U557" s="6"/>
      <c r="V557" s="6"/>
      <c r="W557" s="7" t="str">
        <f t="shared" si="16"/>
        <v/>
      </c>
      <c r="X557" s="8" t="str">
        <f t="shared" si="17"/>
        <v/>
      </c>
      <c r="AG557" s="9"/>
      <c r="AH557" s="10"/>
    </row>
    <row r="558" spans="3:34" x14ac:dyDescent="0.35">
      <c r="C558" s="5"/>
      <c r="D558" s="5"/>
      <c r="T558" s="6"/>
      <c r="U558" s="6"/>
      <c r="V558" s="6"/>
      <c r="W558" s="7" t="str">
        <f t="shared" si="16"/>
        <v/>
      </c>
      <c r="X558" s="8" t="str">
        <f t="shared" si="17"/>
        <v/>
      </c>
      <c r="AG558" s="9"/>
      <c r="AH558" s="10"/>
    </row>
    <row r="559" spans="3:34" x14ac:dyDescent="0.35">
      <c r="C559" s="5"/>
      <c r="D559" s="5"/>
      <c r="T559" s="6"/>
      <c r="U559" s="6"/>
      <c r="V559" s="6"/>
      <c r="W559" s="7" t="str">
        <f t="shared" si="16"/>
        <v/>
      </c>
      <c r="X559" s="8" t="str">
        <f t="shared" si="17"/>
        <v/>
      </c>
      <c r="AG559" s="9"/>
      <c r="AH559" s="10"/>
    </row>
    <row r="560" spans="3:34" x14ac:dyDescent="0.35">
      <c r="C560" s="5"/>
      <c r="D560" s="5"/>
      <c r="T560" s="6"/>
      <c r="U560" s="6"/>
      <c r="V560" s="6"/>
      <c r="W560" s="7" t="str">
        <f t="shared" si="16"/>
        <v/>
      </c>
      <c r="X560" s="8" t="str">
        <f t="shared" si="17"/>
        <v/>
      </c>
      <c r="AG560" s="9"/>
      <c r="AH560" s="10"/>
    </row>
    <row r="561" spans="3:34" x14ac:dyDescent="0.35">
      <c r="C561" s="5"/>
      <c r="D561" s="5"/>
      <c r="T561" s="6"/>
      <c r="U561" s="6"/>
      <c r="V561" s="6"/>
      <c r="W561" s="7" t="str">
        <f t="shared" si="16"/>
        <v/>
      </c>
      <c r="X561" s="8" t="str">
        <f t="shared" si="17"/>
        <v/>
      </c>
      <c r="AG561" s="9"/>
      <c r="AH561" s="10"/>
    </row>
    <row r="562" spans="3:34" x14ac:dyDescent="0.35">
      <c r="C562" s="5"/>
      <c r="D562" s="5"/>
      <c r="T562" s="6"/>
      <c r="U562" s="6"/>
      <c r="V562" s="6"/>
      <c r="W562" s="7" t="str">
        <f t="shared" si="16"/>
        <v/>
      </c>
      <c r="X562" s="8" t="str">
        <f t="shared" si="17"/>
        <v/>
      </c>
      <c r="AG562" s="9"/>
      <c r="AH562" s="10"/>
    </row>
    <row r="563" spans="3:34" x14ac:dyDescent="0.35">
      <c r="C563" s="5"/>
      <c r="D563" s="5"/>
      <c r="T563" s="6"/>
      <c r="U563" s="6"/>
      <c r="V563" s="6"/>
      <c r="W563" s="7" t="str">
        <f t="shared" si="16"/>
        <v/>
      </c>
      <c r="X563" s="8" t="str">
        <f t="shared" si="17"/>
        <v/>
      </c>
      <c r="AG563" s="9"/>
      <c r="AH563" s="10"/>
    </row>
    <row r="564" spans="3:34" x14ac:dyDescent="0.35">
      <c r="C564" s="5"/>
      <c r="D564" s="5"/>
      <c r="T564" s="6"/>
      <c r="U564" s="6"/>
      <c r="V564" s="6"/>
      <c r="W564" s="7" t="str">
        <f t="shared" si="16"/>
        <v/>
      </c>
      <c r="X564" s="8" t="str">
        <f t="shared" si="17"/>
        <v/>
      </c>
      <c r="AG564" s="9"/>
      <c r="AH564" s="10"/>
    </row>
    <row r="565" spans="3:34" x14ac:dyDescent="0.35">
      <c r="C565" s="5"/>
      <c r="D565" s="5"/>
      <c r="T565" s="6"/>
      <c r="U565" s="6"/>
      <c r="V565" s="6"/>
      <c r="W565" s="7" t="str">
        <f t="shared" si="16"/>
        <v/>
      </c>
      <c r="X565" s="8" t="str">
        <f t="shared" si="17"/>
        <v/>
      </c>
      <c r="AG565" s="9"/>
      <c r="AH565" s="10"/>
    </row>
    <row r="566" spans="3:34" x14ac:dyDescent="0.35">
      <c r="C566" s="5"/>
      <c r="D566" s="5"/>
      <c r="T566" s="6"/>
      <c r="U566" s="6"/>
      <c r="V566" s="6"/>
      <c r="W566" s="7" t="str">
        <f t="shared" si="16"/>
        <v/>
      </c>
      <c r="X566" s="8" t="str">
        <f t="shared" si="17"/>
        <v/>
      </c>
      <c r="AG566" s="9"/>
      <c r="AH566" s="10"/>
    </row>
    <row r="567" spans="3:34" x14ac:dyDescent="0.35">
      <c r="C567" s="5"/>
      <c r="D567" s="5"/>
      <c r="T567" s="6"/>
      <c r="U567" s="6"/>
      <c r="V567" s="6"/>
      <c r="W567" s="7" t="str">
        <f t="shared" si="16"/>
        <v/>
      </c>
      <c r="X567" s="8" t="str">
        <f t="shared" si="17"/>
        <v/>
      </c>
      <c r="AG567" s="9"/>
      <c r="AH567" s="10"/>
    </row>
    <row r="568" spans="3:34" x14ac:dyDescent="0.35">
      <c r="C568" s="5"/>
      <c r="D568" s="5"/>
      <c r="T568" s="6"/>
      <c r="U568" s="6"/>
      <c r="V568" s="6"/>
      <c r="W568" s="7" t="str">
        <f t="shared" si="16"/>
        <v/>
      </c>
      <c r="X568" s="8" t="str">
        <f t="shared" si="17"/>
        <v/>
      </c>
      <c r="AG568" s="9"/>
      <c r="AH568" s="10"/>
    </row>
    <row r="569" spans="3:34" x14ac:dyDescent="0.35">
      <c r="C569" s="5"/>
      <c r="D569" s="5"/>
      <c r="T569" s="6"/>
      <c r="U569" s="6"/>
      <c r="V569" s="6"/>
      <c r="W569" s="7" t="str">
        <f t="shared" si="16"/>
        <v/>
      </c>
      <c r="X569" s="8" t="str">
        <f t="shared" si="17"/>
        <v/>
      </c>
      <c r="AG569" s="9"/>
      <c r="AH569" s="10"/>
    </row>
    <row r="570" spans="3:34" x14ac:dyDescent="0.35">
      <c r="C570" s="5"/>
      <c r="D570" s="5"/>
      <c r="T570" s="6"/>
      <c r="U570" s="6"/>
      <c r="V570" s="6"/>
      <c r="W570" s="7" t="str">
        <f t="shared" si="16"/>
        <v/>
      </c>
      <c r="X570" s="8" t="str">
        <f t="shared" si="17"/>
        <v/>
      </c>
      <c r="AG570" s="9"/>
      <c r="AH570" s="10"/>
    </row>
    <row r="571" spans="3:34" x14ac:dyDescent="0.35">
      <c r="C571" s="5"/>
      <c r="D571" s="5"/>
      <c r="T571" s="6"/>
      <c r="U571" s="6"/>
      <c r="V571" s="6"/>
      <c r="W571" s="7" t="str">
        <f t="shared" si="16"/>
        <v/>
      </c>
      <c r="X571" s="8" t="str">
        <f t="shared" si="17"/>
        <v/>
      </c>
      <c r="AG571" s="9"/>
      <c r="AH571" s="10"/>
    </row>
    <row r="572" spans="3:34" x14ac:dyDescent="0.35">
      <c r="C572" s="5"/>
      <c r="D572" s="5"/>
      <c r="T572" s="6"/>
      <c r="U572" s="6"/>
      <c r="V572" s="6"/>
      <c r="W572" s="7" t="str">
        <f t="shared" si="16"/>
        <v/>
      </c>
      <c r="X572" s="8" t="str">
        <f t="shared" si="17"/>
        <v/>
      </c>
      <c r="AG572" s="9"/>
      <c r="AH572" s="10"/>
    </row>
    <row r="573" spans="3:34" x14ac:dyDescent="0.35">
      <c r="C573" s="5"/>
      <c r="D573" s="5"/>
      <c r="T573" s="6"/>
      <c r="U573" s="6"/>
      <c r="V573" s="6"/>
      <c r="W573" s="7" t="str">
        <f t="shared" si="16"/>
        <v/>
      </c>
      <c r="X573" s="8" t="str">
        <f t="shared" si="17"/>
        <v/>
      </c>
      <c r="AG573" s="9"/>
      <c r="AH573" s="10"/>
    </row>
    <row r="574" spans="3:34" x14ac:dyDescent="0.35">
      <c r="C574" s="5"/>
      <c r="D574" s="5"/>
      <c r="T574" s="6"/>
      <c r="U574" s="6"/>
      <c r="V574" s="6"/>
      <c r="W574" s="7" t="str">
        <f t="shared" si="16"/>
        <v/>
      </c>
      <c r="X574" s="8" t="str">
        <f t="shared" si="17"/>
        <v/>
      </c>
      <c r="AG574" s="9"/>
      <c r="AH574" s="10"/>
    </row>
    <row r="575" spans="3:34" x14ac:dyDescent="0.35">
      <c r="C575" s="5"/>
      <c r="D575" s="5"/>
      <c r="T575" s="6"/>
      <c r="U575" s="6"/>
      <c r="V575" s="6"/>
      <c r="W575" s="7" t="str">
        <f t="shared" si="16"/>
        <v/>
      </c>
      <c r="X575" s="8" t="str">
        <f t="shared" si="17"/>
        <v/>
      </c>
      <c r="AG575" s="9"/>
      <c r="AH575" s="10"/>
    </row>
    <row r="576" spans="3:34" x14ac:dyDescent="0.35">
      <c r="C576" s="5"/>
      <c r="D576" s="5"/>
      <c r="T576" s="6"/>
      <c r="U576" s="6"/>
      <c r="V576" s="6"/>
      <c r="W576" s="7" t="str">
        <f t="shared" si="16"/>
        <v/>
      </c>
      <c r="X576" s="8" t="str">
        <f t="shared" si="17"/>
        <v/>
      </c>
      <c r="AG576" s="9"/>
      <c r="AH576" s="10"/>
    </row>
    <row r="577" spans="3:34" x14ac:dyDescent="0.35">
      <c r="C577" s="5"/>
      <c r="D577" s="5"/>
      <c r="T577" s="6"/>
      <c r="U577" s="6"/>
      <c r="V577" s="6"/>
      <c r="W577" s="7" t="str">
        <f t="shared" si="16"/>
        <v/>
      </c>
      <c r="X577" s="8" t="str">
        <f t="shared" si="17"/>
        <v/>
      </c>
      <c r="AG577" s="9"/>
      <c r="AH577" s="10"/>
    </row>
    <row r="578" spans="3:34" x14ac:dyDescent="0.35">
      <c r="C578" s="5"/>
      <c r="D578" s="5"/>
      <c r="T578" s="6"/>
      <c r="U578" s="6"/>
      <c r="V578" s="6"/>
      <c r="W578" s="7" t="str">
        <f t="shared" ref="W578:W641" si="18">IF($U578&gt;0,$U578-$V578,"")</f>
        <v/>
      </c>
      <c r="X578" s="8" t="str">
        <f t="shared" ref="X578:X641" si="19">IF($U578&gt;0,($U578-$V578)/$U578,"")</f>
        <v/>
      </c>
      <c r="AG578" s="9"/>
      <c r="AH578" s="10"/>
    </row>
    <row r="579" spans="3:34" x14ac:dyDescent="0.35">
      <c r="C579" s="5"/>
      <c r="D579" s="5"/>
      <c r="T579" s="6"/>
      <c r="U579" s="6"/>
      <c r="V579" s="6"/>
      <c r="W579" s="7" t="str">
        <f t="shared" si="18"/>
        <v/>
      </c>
      <c r="X579" s="8" t="str">
        <f t="shared" si="19"/>
        <v/>
      </c>
      <c r="AG579" s="9"/>
      <c r="AH579" s="10"/>
    </row>
    <row r="580" spans="3:34" x14ac:dyDescent="0.35">
      <c r="C580" s="5"/>
      <c r="D580" s="5"/>
      <c r="T580" s="6"/>
      <c r="U580" s="6"/>
      <c r="V580" s="6"/>
      <c r="W580" s="7" t="str">
        <f t="shared" si="18"/>
        <v/>
      </c>
      <c r="X580" s="8" t="str">
        <f t="shared" si="19"/>
        <v/>
      </c>
      <c r="AG580" s="9"/>
      <c r="AH580" s="10"/>
    </row>
    <row r="581" spans="3:34" x14ac:dyDescent="0.35">
      <c r="C581" s="5"/>
      <c r="D581" s="5"/>
      <c r="T581" s="6"/>
      <c r="U581" s="6"/>
      <c r="V581" s="6"/>
      <c r="W581" s="7" t="str">
        <f t="shared" si="18"/>
        <v/>
      </c>
      <c r="X581" s="8" t="str">
        <f t="shared" si="19"/>
        <v/>
      </c>
      <c r="AG581" s="9"/>
      <c r="AH581" s="10"/>
    </row>
    <row r="582" spans="3:34" x14ac:dyDescent="0.35">
      <c r="C582" s="5"/>
      <c r="D582" s="5"/>
      <c r="T582" s="6"/>
      <c r="U582" s="6"/>
      <c r="V582" s="6"/>
      <c r="W582" s="7" t="str">
        <f t="shared" si="18"/>
        <v/>
      </c>
      <c r="X582" s="8" t="str">
        <f t="shared" si="19"/>
        <v/>
      </c>
      <c r="AG582" s="9"/>
      <c r="AH582" s="10"/>
    </row>
    <row r="583" spans="3:34" x14ac:dyDescent="0.35">
      <c r="C583" s="5"/>
      <c r="D583" s="5"/>
      <c r="T583" s="6"/>
      <c r="U583" s="6"/>
      <c r="V583" s="6"/>
      <c r="W583" s="7" t="str">
        <f t="shared" si="18"/>
        <v/>
      </c>
      <c r="X583" s="8" t="str">
        <f t="shared" si="19"/>
        <v/>
      </c>
      <c r="AG583" s="9"/>
      <c r="AH583" s="10"/>
    </row>
    <row r="584" spans="3:34" x14ac:dyDescent="0.35">
      <c r="C584" s="5"/>
      <c r="D584" s="5"/>
      <c r="T584" s="6"/>
      <c r="U584" s="6"/>
      <c r="V584" s="6"/>
      <c r="W584" s="7" t="str">
        <f t="shared" si="18"/>
        <v/>
      </c>
      <c r="X584" s="8" t="str">
        <f t="shared" si="19"/>
        <v/>
      </c>
      <c r="AG584" s="9"/>
      <c r="AH584" s="10"/>
    </row>
    <row r="585" spans="3:34" x14ac:dyDescent="0.35">
      <c r="C585" s="5"/>
      <c r="D585" s="5"/>
      <c r="T585" s="6"/>
      <c r="U585" s="6"/>
      <c r="V585" s="6"/>
      <c r="W585" s="7" t="str">
        <f t="shared" si="18"/>
        <v/>
      </c>
      <c r="X585" s="8" t="str">
        <f t="shared" si="19"/>
        <v/>
      </c>
      <c r="AG585" s="9"/>
      <c r="AH585" s="10"/>
    </row>
    <row r="586" spans="3:34" x14ac:dyDescent="0.35">
      <c r="C586" s="5"/>
      <c r="D586" s="5"/>
      <c r="T586" s="6"/>
      <c r="U586" s="6"/>
      <c r="V586" s="6"/>
      <c r="W586" s="7" t="str">
        <f t="shared" si="18"/>
        <v/>
      </c>
      <c r="X586" s="8" t="str">
        <f t="shared" si="19"/>
        <v/>
      </c>
      <c r="AG586" s="9"/>
      <c r="AH586" s="10"/>
    </row>
    <row r="587" spans="3:34" x14ac:dyDescent="0.35">
      <c r="C587" s="5"/>
      <c r="D587" s="5"/>
      <c r="T587" s="6"/>
      <c r="U587" s="6"/>
      <c r="V587" s="6"/>
      <c r="W587" s="7" t="str">
        <f t="shared" si="18"/>
        <v/>
      </c>
      <c r="X587" s="8" t="str">
        <f t="shared" si="19"/>
        <v/>
      </c>
      <c r="AG587" s="9"/>
      <c r="AH587" s="10"/>
    </row>
    <row r="588" spans="3:34" x14ac:dyDescent="0.35">
      <c r="C588" s="5"/>
      <c r="D588" s="5"/>
      <c r="T588" s="6"/>
      <c r="U588" s="6"/>
      <c r="V588" s="6"/>
      <c r="W588" s="7" t="str">
        <f t="shared" si="18"/>
        <v/>
      </c>
      <c r="X588" s="8" t="str">
        <f t="shared" si="19"/>
        <v/>
      </c>
      <c r="AG588" s="9"/>
      <c r="AH588" s="10"/>
    </row>
    <row r="589" spans="3:34" x14ac:dyDescent="0.35">
      <c r="C589" s="5"/>
      <c r="D589" s="5"/>
      <c r="T589" s="6"/>
      <c r="U589" s="6"/>
      <c r="V589" s="6"/>
      <c r="W589" s="7" t="str">
        <f t="shared" si="18"/>
        <v/>
      </c>
      <c r="X589" s="8" t="str">
        <f t="shared" si="19"/>
        <v/>
      </c>
      <c r="AG589" s="9"/>
      <c r="AH589" s="10"/>
    </row>
    <row r="590" spans="3:34" x14ac:dyDescent="0.35">
      <c r="C590" s="5"/>
      <c r="D590" s="5"/>
      <c r="T590" s="6"/>
      <c r="U590" s="6"/>
      <c r="V590" s="6"/>
      <c r="W590" s="7" t="str">
        <f t="shared" si="18"/>
        <v/>
      </c>
      <c r="X590" s="8" t="str">
        <f t="shared" si="19"/>
        <v/>
      </c>
      <c r="AG590" s="9"/>
      <c r="AH590" s="10"/>
    </row>
    <row r="591" spans="3:34" x14ac:dyDescent="0.35">
      <c r="C591" s="5"/>
      <c r="D591" s="5"/>
      <c r="T591" s="6"/>
      <c r="U591" s="6"/>
      <c r="V591" s="6"/>
      <c r="W591" s="7" t="str">
        <f t="shared" si="18"/>
        <v/>
      </c>
      <c r="X591" s="8" t="str">
        <f t="shared" si="19"/>
        <v/>
      </c>
      <c r="AG591" s="9"/>
      <c r="AH591" s="10"/>
    </row>
    <row r="592" spans="3:34" x14ac:dyDescent="0.35">
      <c r="C592" s="5"/>
      <c r="D592" s="5"/>
      <c r="T592" s="6"/>
      <c r="U592" s="6"/>
      <c r="V592" s="6"/>
      <c r="W592" s="7" t="str">
        <f t="shared" si="18"/>
        <v/>
      </c>
      <c r="X592" s="8" t="str">
        <f t="shared" si="19"/>
        <v/>
      </c>
      <c r="AG592" s="9"/>
      <c r="AH592" s="10"/>
    </row>
    <row r="593" spans="3:34" x14ac:dyDescent="0.35">
      <c r="C593" s="5"/>
      <c r="D593" s="5"/>
      <c r="T593" s="6"/>
      <c r="U593" s="6"/>
      <c r="V593" s="6"/>
      <c r="W593" s="7" t="str">
        <f t="shared" si="18"/>
        <v/>
      </c>
      <c r="X593" s="8" t="str">
        <f t="shared" si="19"/>
        <v/>
      </c>
      <c r="AG593" s="9"/>
      <c r="AH593" s="10"/>
    </row>
    <row r="594" spans="3:34" x14ac:dyDescent="0.35">
      <c r="C594" s="5"/>
      <c r="D594" s="5"/>
      <c r="T594" s="6"/>
      <c r="U594" s="6"/>
      <c r="V594" s="6"/>
      <c r="W594" s="7" t="str">
        <f t="shared" si="18"/>
        <v/>
      </c>
      <c r="X594" s="8" t="str">
        <f t="shared" si="19"/>
        <v/>
      </c>
      <c r="AG594" s="9"/>
      <c r="AH594" s="10"/>
    </row>
    <row r="595" spans="3:34" x14ac:dyDescent="0.35">
      <c r="C595" s="5"/>
      <c r="D595" s="5"/>
      <c r="T595" s="6"/>
      <c r="U595" s="6"/>
      <c r="V595" s="6"/>
      <c r="W595" s="7" t="str">
        <f t="shared" si="18"/>
        <v/>
      </c>
      <c r="X595" s="8" t="str">
        <f t="shared" si="19"/>
        <v/>
      </c>
      <c r="AG595" s="9"/>
      <c r="AH595" s="10"/>
    </row>
    <row r="596" spans="3:34" x14ac:dyDescent="0.35">
      <c r="C596" s="5"/>
      <c r="D596" s="5"/>
      <c r="T596" s="6"/>
      <c r="U596" s="6"/>
      <c r="V596" s="6"/>
      <c r="W596" s="7" t="str">
        <f t="shared" si="18"/>
        <v/>
      </c>
      <c r="X596" s="8" t="str">
        <f t="shared" si="19"/>
        <v/>
      </c>
      <c r="AG596" s="9"/>
      <c r="AH596" s="10"/>
    </row>
    <row r="597" spans="3:34" x14ac:dyDescent="0.35">
      <c r="C597" s="5"/>
      <c r="D597" s="5"/>
      <c r="T597" s="6"/>
      <c r="U597" s="6"/>
      <c r="V597" s="6"/>
      <c r="W597" s="7" t="str">
        <f t="shared" si="18"/>
        <v/>
      </c>
      <c r="X597" s="8" t="str">
        <f t="shared" si="19"/>
        <v/>
      </c>
      <c r="AG597" s="9"/>
      <c r="AH597" s="10"/>
    </row>
    <row r="598" spans="3:34" x14ac:dyDescent="0.35">
      <c r="C598" s="5"/>
      <c r="D598" s="5"/>
      <c r="T598" s="6"/>
      <c r="U598" s="6"/>
      <c r="V598" s="6"/>
      <c r="W598" s="7" t="str">
        <f t="shared" si="18"/>
        <v/>
      </c>
      <c r="X598" s="8" t="str">
        <f t="shared" si="19"/>
        <v/>
      </c>
      <c r="AG598" s="9"/>
      <c r="AH598" s="10"/>
    </row>
    <row r="599" spans="3:34" x14ac:dyDescent="0.35">
      <c r="C599" s="5"/>
      <c r="D599" s="5"/>
      <c r="T599" s="6"/>
      <c r="U599" s="6"/>
      <c r="V599" s="6"/>
      <c r="W599" s="7" t="str">
        <f t="shared" si="18"/>
        <v/>
      </c>
      <c r="X599" s="8" t="str">
        <f t="shared" si="19"/>
        <v/>
      </c>
      <c r="AG599" s="9"/>
      <c r="AH599" s="10"/>
    </row>
    <row r="600" spans="3:34" x14ac:dyDescent="0.35">
      <c r="C600" s="5"/>
      <c r="D600" s="5"/>
      <c r="T600" s="6"/>
      <c r="U600" s="6"/>
      <c r="V600" s="6"/>
      <c r="W600" s="7" t="str">
        <f t="shared" si="18"/>
        <v/>
      </c>
      <c r="X600" s="8" t="str">
        <f t="shared" si="19"/>
        <v/>
      </c>
      <c r="AG600" s="9"/>
      <c r="AH600" s="10"/>
    </row>
    <row r="601" spans="3:34" x14ac:dyDescent="0.35">
      <c r="C601" s="5"/>
      <c r="D601" s="5"/>
      <c r="T601" s="6"/>
      <c r="U601" s="6"/>
      <c r="V601" s="6"/>
      <c r="W601" s="7" t="str">
        <f t="shared" si="18"/>
        <v/>
      </c>
      <c r="X601" s="8" t="str">
        <f t="shared" si="19"/>
        <v/>
      </c>
      <c r="AG601" s="9"/>
      <c r="AH601" s="10"/>
    </row>
    <row r="602" spans="3:34" x14ac:dyDescent="0.35">
      <c r="C602" s="5"/>
      <c r="D602" s="5"/>
      <c r="T602" s="6"/>
      <c r="U602" s="6"/>
      <c r="V602" s="6"/>
      <c r="W602" s="7" t="str">
        <f t="shared" si="18"/>
        <v/>
      </c>
      <c r="X602" s="8" t="str">
        <f t="shared" si="19"/>
        <v/>
      </c>
      <c r="AG602" s="9"/>
      <c r="AH602" s="10"/>
    </row>
    <row r="603" spans="3:34" x14ac:dyDescent="0.35">
      <c r="C603" s="5"/>
      <c r="D603" s="5"/>
      <c r="T603" s="6"/>
      <c r="U603" s="6"/>
      <c r="V603" s="6"/>
      <c r="W603" s="7" t="str">
        <f t="shared" si="18"/>
        <v/>
      </c>
      <c r="X603" s="8" t="str">
        <f t="shared" si="19"/>
        <v/>
      </c>
      <c r="AG603" s="9"/>
      <c r="AH603" s="10"/>
    </row>
    <row r="604" spans="3:34" x14ac:dyDescent="0.35">
      <c r="C604" s="5"/>
      <c r="D604" s="5"/>
      <c r="T604" s="6"/>
      <c r="U604" s="6"/>
      <c r="V604" s="6"/>
      <c r="W604" s="7" t="str">
        <f t="shared" si="18"/>
        <v/>
      </c>
      <c r="X604" s="8" t="str">
        <f t="shared" si="19"/>
        <v/>
      </c>
      <c r="AG604" s="9"/>
      <c r="AH604" s="10"/>
    </row>
    <row r="605" spans="3:34" x14ac:dyDescent="0.35">
      <c r="C605" s="5"/>
      <c r="D605" s="5"/>
      <c r="T605" s="6"/>
      <c r="U605" s="6"/>
      <c r="V605" s="6"/>
      <c r="W605" s="7" t="str">
        <f t="shared" si="18"/>
        <v/>
      </c>
      <c r="X605" s="8" t="str">
        <f t="shared" si="19"/>
        <v/>
      </c>
      <c r="AG605" s="9"/>
      <c r="AH605" s="10"/>
    </row>
    <row r="606" spans="3:34" x14ac:dyDescent="0.35">
      <c r="C606" s="5"/>
      <c r="D606" s="5"/>
      <c r="T606" s="6"/>
      <c r="U606" s="6"/>
      <c r="V606" s="6"/>
      <c r="W606" s="7" t="str">
        <f t="shared" si="18"/>
        <v/>
      </c>
      <c r="X606" s="8" t="str">
        <f t="shared" si="19"/>
        <v/>
      </c>
      <c r="AG606" s="9"/>
      <c r="AH606" s="10"/>
    </row>
    <row r="607" spans="3:34" x14ac:dyDescent="0.35">
      <c r="C607" s="5"/>
      <c r="D607" s="5"/>
      <c r="T607" s="6"/>
      <c r="U607" s="6"/>
      <c r="V607" s="6"/>
      <c r="W607" s="7" t="str">
        <f t="shared" si="18"/>
        <v/>
      </c>
      <c r="X607" s="8" t="str">
        <f t="shared" si="19"/>
        <v/>
      </c>
      <c r="AG607" s="9"/>
      <c r="AH607" s="10"/>
    </row>
    <row r="608" spans="3:34" x14ac:dyDescent="0.35">
      <c r="C608" s="5"/>
      <c r="D608" s="5"/>
      <c r="T608" s="6"/>
      <c r="U608" s="6"/>
      <c r="V608" s="6"/>
      <c r="W608" s="7" t="str">
        <f t="shared" si="18"/>
        <v/>
      </c>
      <c r="X608" s="8" t="str">
        <f t="shared" si="19"/>
        <v/>
      </c>
      <c r="AG608" s="9"/>
      <c r="AH608" s="10"/>
    </row>
    <row r="609" spans="3:34" x14ac:dyDescent="0.35">
      <c r="C609" s="5"/>
      <c r="D609" s="5"/>
      <c r="T609" s="6"/>
      <c r="U609" s="6"/>
      <c r="V609" s="6"/>
      <c r="W609" s="7" t="str">
        <f t="shared" si="18"/>
        <v/>
      </c>
      <c r="X609" s="8" t="str">
        <f t="shared" si="19"/>
        <v/>
      </c>
      <c r="AG609" s="9"/>
      <c r="AH609" s="10"/>
    </row>
    <row r="610" spans="3:34" x14ac:dyDescent="0.35">
      <c r="C610" s="5"/>
      <c r="D610" s="5"/>
      <c r="T610" s="6"/>
      <c r="U610" s="6"/>
      <c r="V610" s="6"/>
      <c r="W610" s="7" t="str">
        <f t="shared" si="18"/>
        <v/>
      </c>
      <c r="X610" s="8" t="str">
        <f t="shared" si="19"/>
        <v/>
      </c>
      <c r="AG610" s="9"/>
      <c r="AH610" s="10"/>
    </row>
    <row r="611" spans="3:34" x14ac:dyDescent="0.35">
      <c r="C611" s="5"/>
      <c r="D611" s="5"/>
      <c r="T611" s="6"/>
      <c r="U611" s="6"/>
      <c r="V611" s="6"/>
      <c r="W611" s="7" t="str">
        <f t="shared" si="18"/>
        <v/>
      </c>
      <c r="X611" s="8" t="str">
        <f t="shared" si="19"/>
        <v/>
      </c>
      <c r="AG611" s="9"/>
      <c r="AH611" s="10"/>
    </row>
    <row r="612" spans="3:34" x14ac:dyDescent="0.35">
      <c r="C612" s="5"/>
      <c r="D612" s="5"/>
      <c r="T612" s="6"/>
      <c r="U612" s="6"/>
      <c r="V612" s="6"/>
      <c r="W612" s="7" t="str">
        <f t="shared" si="18"/>
        <v/>
      </c>
      <c r="X612" s="8" t="str">
        <f t="shared" si="19"/>
        <v/>
      </c>
      <c r="AG612" s="9"/>
      <c r="AH612" s="10"/>
    </row>
    <row r="613" spans="3:34" x14ac:dyDescent="0.35">
      <c r="C613" s="5"/>
      <c r="D613" s="5"/>
      <c r="T613" s="6"/>
      <c r="U613" s="6"/>
      <c r="V613" s="6"/>
      <c r="W613" s="7" t="str">
        <f t="shared" si="18"/>
        <v/>
      </c>
      <c r="X613" s="8" t="str">
        <f t="shared" si="19"/>
        <v/>
      </c>
      <c r="AG613" s="9"/>
      <c r="AH613" s="10"/>
    </row>
    <row r="614" spans="3:34" x14ac:dyDescent="0.35">
      <c r="C614" s="5"/>
      <c r="D614" s="5"/>
      <c r="T614" s="6"/>
      <c r="U614" s="6"/>
      <c r="V614" s="6"/>
      <c r="W614" s="7" t="str">
        <f t="shared" si="18"/>
        <v/>
      </c>
      <c r="X614" s="8" t="str">
        <f t="shared" si="19"/>
        <v/>
      </c>
      <c r="AG614" s="9"/>
      <c r="AH614" s="10"/>
    </row>
    <row r="615" spans="3:34" x14ac:dyDescent="0.35">
      <c r="C615" s="5"/>
      <c r="D615" s="5"/>
      <c r="T615" s="6"/>
      <c r="U615" s="6"/>
      <c r="V615" s="6"/>
      <c r="W615" s="7" t="str">
        <f t="shared" si="18"/>
        <v/>
      </c>
      <c r="X615" s="8" t="str">
        <f t="shared" si="19"/>
        <v/>
      </c>
      <c r="AG615" s="9"/>
      <c r="AH615" s="10"/>
    </row>
    <row r="616" spans="3:34" x14ac:dyDescent="0.35">
      <c r="C616" s="5"/>
      <c r="D616" s="5"/>
      <c r="T616" s="6"/>
      <c r="U616" s="6"/>
      <c r="V616" s="6"/>
      <c r="W616" s="7" t="str">
        <f t="shared" si="18"/>
        <v/>
      </c>
      <c r="X616" s="8" t="str">
        <f t="shared" si="19"/>
        <v/>
      </c>
      <c r="AG616" s="9"/>
      <c r="AH616" s="10"/>
    </row>
    <row r="617" spans="3:34" x14ac:dyDescent="0.35">
      <c r="C617" s="5"/>
      <c r="D617" s="5"/>
      <c r="T617" s="6"/>
      <c r="U617" s="6"/>
      <c r="V617" s="6"/>
      <c r="W617" s="7" t="str">
        <f t="shared" si="18"/>
        <v/>
      </c>
      <c r="X617" s="8" t="str">
        <f t="shared" si="19"/>
        <v/>
      </c>
      <c r="AG617" s="9"/>
      <c r="AH617" s="10"/>
    </row>
    <row r="618" spans="3:34" x14ac:dyDescent="0.35">
      <c r="C618" s="5"/>
      <c r="D618" s="5"/>
      <c r="T618" s="6"/>
      <c r="U618" s="6"/>
      <c r="V618" s="6"/>
      <c r="W618" s="7" t="str">
        <f t="shared" si="18"/>
        <v/>
      </c>
      <c r="X618" s="8" t="str">
        <f t="shared" si="19"/>
        <v/>
      </c>
      <c r="AG618" s="9"/>
      <c r="AH618" s="10"/>
    </row>
    <row r="619" spans="3:34" x14ac:dyDescent="0.35">
      <c r="C619" s="5"/>
      <c r="D619" s="5"/>
      <c r="T619" s="6"/>
      <c r="U619" s="6"/>
      <c r="V619" s="6"/>
      <c r="W619" s="7" t="str">
        <f t="shared" si="18"/>
        <v/>
      </c>
      <c r="X619" s="8" t="str">
        <f t="shared" si="19"/>
        <v/>
      </c>
      <c r="AG619" s="9"/>
      <c r="AH619" s="10"/>
    </row>
    <row r="620" spans="3:34" x14ac:dyDescent="0.35">
      <c r="C620" s="5"/>
      <c r="D620" s="5"/>
      <c r="T620" s="6"/>
      <c r="U620" s="6"/>
      <c r="V620" s="6"/>
      <c r="W620" s="7" t="str">
        <f t="shared" si="18"/>
        <v/>
      </c>
      <c r="X620" s="8" t="str">
        <f t="shared" si="19"/>
        <v/>
      </c>
      <c r="AG620" s="9"/>
      <c r="AH620" s="10"/>
    </row>
    <row r="621" spans="3:34" x14ac:dyDescent="0.35">
      <c r="C621" s="5"/>
      <c r="D621" s="5"/>
      <c r="T621" s="6"/>
      <c r="U621" s="6"/>
      <c r="V621" s="6"/>
      <c r="W621" s="7" t="str">
        <f t="shared" si="18"/>
        <v/>
      </c>
      <c r="X621" s="8" t="str">
        <f t="shared" si="19"/>
        <v/>
      </c>
      <c r="AG621" s="9"/>
      <c r="AH621" s="10"/>
    </row>
    <row r="622" spans="3:34" x14ac:dyDescent="0.35">
      <c r="C622" s="5"/>
      <c r="D622" s="5"/>
      <c r="T622" s="6"/>
      <c r="U622" s="6"/>
      <c r="V622" s="6"/>
      <c r="W622" s="7" t="str">
        <f t="shared" si="18"/>
        <v/>
      </c>
      <c r="X622" s="8" t="str">
        <f t="shared" si="19"/>
        <v/>
      </c>
      <c r="AG622" s="9"/>
      <c r="AH622" s="10"/>
    </row>
    <row r="623" spans="3:34" x14ac:dyDescent="0.35">
      <c r="C623" s="5"/>
      <c r="D623" s="5"/>
      <c r="T623" s="6"/>
      <c r="U623" s="6"/>
      <c r="V623" s="6"/>
      <c r="W623" s="7" t="str">
        <f t="shared" si="18"/>
        <v/>
      </c>
      <c r="X623" s="8" t="str">
        <f t="shared" si="19"/>
        <v/>
      </c>
      <c r="AG623" s="9"/>
      <c r="AH623" s="10"/>
    </row>
    <row r="624" spans="3:34" x14ac:dyDescent="0.35">
      <c r="C624" s="5"/>
      <c r="D624" s="5"/>
      <c r="T624" s="6"/>
      <c r="U624" s="6"/>
      <c r="V624" s="6"/>
      <c r="W624" s="7" t="str">
        <f t="shared" si="18"/>
        <v/>
      </c>
      <c r="X624" s="8" t="str">
        <f t="shared" si="19"/>
        <v/>
      </c>
      <c r="AG624" s="9"/>
      <c r="AH624" s="10"/>
    </row>
    <row r="625" spans="3:34" x14ac:dyDescent="0.35">
      <c r="C625" s="5"/>
      <c r="D625" s="5"/>
      <c r="T625" s="6"/>
      <c r="U625" s="6"/>
      <c r="V625" s="6"/>
      <c r="W625" s="7" t="str">
        <f t="shared" si="18"/>
        <v/>
      </c>
      <c r="X625" s="8" t="str">
        <f t="shared" si="19"/>
        <v/>
      </c>
      <c r="AG625" s="9"/>
      <c r="AH625" s="10"/>
    </row>
    <row r="626" spans="3:34" x14ac:dyDescent="0.35">
      <c r="C626" s="5"/>
      <c r="D626" s="5"/>
      <c r="T626" s="6"/>
      <c r="U626" s="6"/>
      <c r="V626" s="6"/>
      <c r="W626" s="7" t="str">
        <f t="shared" si="18"/>
        <v/>
      </c>
      <c r="X626" s="8" t="str">
        <f t="shared" si="19"/>
        <v/>
      </c>
      <c r="AG626" s="9"/>
      <c r="AH626" s="10"/>
    </row>
    <row r="627" spans="3:34" x14ac:dyDescent="0.35">
      <c r="C627" s="5"/>
      <c r="D627" s="5"/>
      <c r="T627" s="6"/>
      <c r="U627" s="6"/>
      <c r="V627" s="6"/>
      <c r="W627" s="7" t="str">
        <f t="shared" si="18"/>
        <v/>
      </c>
      <c r="X627" s="8" t="str">
        <f t="shared" si="19"/>
        <v/>
      </c>
      <c r="AG627" s="9"/>
      <c r="AH627" s="10"/>
    </row>
    <row r="628" spans="3:34" x14ac:dyDescent="0.35">
      <c r="C628" s="5"/>
      <c r="D628" s="5"/>
      <c r="T628" s="6"/>
      <c r="U628" s="6"/>
      <c r="V628" s="6"/>
      <c r="W628" s="7" t="str">
        <f t="shared" si="18"/>
        <v/>
      </c>
      <c r="X628" s="8" t="str">
        <f t="shared" si="19"/>
        <v/>
      </c>
      <c r="AG628" s="9"/>
      <c r="AH628" s="10"/>
    </row>
    <row r="629" spans="3:34" x14ac:dyDescent="0.35">
      <c r="C629" s="5"/>
      <c r="D629" s="5"/>
      <c r="T629" s="6"/>
      <c r="U629" s="6"/>
      <c r="V629" s="6"/>
      <c r="W629" s="7" t="str">
        <f t="shared" si="18"/>
        <v/>
      </c>
      <c r="X629" s="8" t="str">
        <f t="shared" si="19"/>
        <v/>
      </c>
      <c r="AG629" s="9"/>
      <c r="AH629" s="10"/>
    </row>
    <row r="630" spans="3:34" x14ac:dyDescent="0.35">
      <c r="C630" s="5"/>
      <c r="D630" s="5"/>
      <c r="T630" s="6"/>
      <c r="U630" s="6"/>
      <c r="V630" s="6"/>
      <c r="W630" s="7" t="str">
        <f t="shared" si="18"/>
        <v/>
      </c>
      <c r="X630" s="8" t="str">
        <f t="shared" si="19"/>
        <v/>
      </c>
      <c r="AG630" s="9"/>
      <c r="AH630" s="10"/>
    </row>
    <row r="631" spans="3:34" x14ac:dyDescent="0.35">
      <c r="C631" s="5"/>
      <c r="D631" s="5"/>
      <c r="T631" s="6"/>
      <c r="U631" s="6"/>
      <c r="V631" s="6"/>
      <c r="W631" s="7" t="str">
        <f t="shared" si="18"/>
        <v/>
      </c>
      <c r="X631" s="8" t="str">
        <f t="shared" si="19"/>
        <v/>
      </c>
      <c r="AG631" s="9"/>
      <c r="AH631" s="10"/>
    </row>
    <row r="632" spans="3:34" x14ac:dyDescent="0.35">
      <c r="C632" s="5"/>
      <c r="D632" s="5"/>
      <c r="T632" s="6"/>
      <c r="U632" s="6"/>
      <c r="V632" s="6"/>
      <c r="W632" s="7" t="str">
        <f t="shared" si="18"/>
        <v/>
      </c>
      <c r="X632" s="8" t="str">
        <f t="shared" si="19"/>
        <v/>
      </c>
      <c r="AG632" s="9"/>
      <c r="AH632" s="10"/>
    </row>
    <row r="633" spans="3:34" x14ac:dyDescent="0.35">
      <c r="C633" s="5"/>
      <c r="D633" s="5"/>
      <c r="T633" s="6"/>
      <c r="U633" s="6"/>
      <c r="V633" s="6"/>
      <c r="W633" s="7" t="str">
        <f t="shared" si="18"/>
        <v/>
      </c>
      <c r="X633" s="8" t="str">
        <f t="shared" si="19"/>
        <v/>
      </c>
      <c r="AG633" s="9"/>
      <c r="AH633" s="10"/>
    </row>
    <row r="634" spans="3:34" x14ac:dyDescent="0.35">
      <c r="C634" s="5"/>
      <c r="D634" s="5"/>
      <c r="T634" s="6"/>
      <c r="U634" s="6"/>
      <c r="V634" s="6"/>
      <c r="W634" s="7" t="str">
        <f t="shared" si="18"/>
        <v/>
      </c>
      <c r="X634" s="8" t="str">
        <f t="shared" si="19"/>
        <v/>
      </c>
      <c r="AG634" s="9"/>
      <c r="AH634" s="10"/>
    </row>
    <row r="635" spans="3:34" x14ac:dyDescent="0.35">
      <c r="C635" s="5"/>
      <c r="D635" s="5"/>
      <c r="T635" s="6"/>
      <c r="U635" s="6"/>
      <c r="V635" s="6"/>
      <c r="W635" s="7" t="str">
        <f t="shared" si="18"/>
        <v/>
      </c>
      <c r="X635" s="8" t="str">
        <f t="shared" si="19"/>
        <v/>
      </c>
      <c r="AG635" s="9"/>
      <c r="AH635" s="10"/>
    </row>
    <row r="636" spans="3:34" x14ac:dyDescent="0.35">
      <c r="C636" s="5"/>
      <c r="D636" s="5"/>
      <c r="T636" s="6"/>
      <c r="U636" s="6"/>
      <c r="V636" s="6"/>
      <c r="W636" s="7" t="str">
        <f t="shared" si="18"/>
        <v/>
      </c>
      <c r="X636" s="8" t="str">
        <f t="shared" si="19"/>
        <v/>
      </c>
      <c r="AG636" s="9"/>
      <c r="AH636" s="10"/>
    </row>
    <row r="637" spans="3:34" x14ac:dyDescent="0.35">
      <c r="C637" s="5"/>
      <c r="D637" s="5"/>
      <c r="T637" s="6"/>
      <c r="U637" s="6"/>
      <c r="V637" s="6"/>
      <c r="W637" s="7" t="str">
        <f t="shared" si="18"/>
        <v/>
      </c>
      <c r="X637" s="8" t="str">
        <f t="shared" si="19"/>
        <v/>
      </c>
      <c r="AG637" s="9"/>
      <c r="AH637" s="10"/>
    </row>
    <row r="638" spans="3:34" x14ac:dyDescent="0.35">
      <c r="C638" s="5"/>
      <c r="D638" s="5"/>
      <c r="T638" s="6"/>
      <c r="U638" s="6"/>
      <c r="V638" s="6"/>
      <c r="W638" s="7" t="str">
        <f t="shared" si="18"/>
        <v/>
      </c>
      <c r="X638" s="8" t="str">
        <f t="shared" si="19"/>
        <v/>
      </c>
      <c r="AG638" s="9"/>
      <c r="AH638" s="10"/>
    </row>
    <row r="639" spans="3:34" x14ac:dyDescent="0.35">
      <c r="C639" s="5"/>
      <c r="D639" s="5"/>
      <c r="T639" s="6"/>
      <c r="U639" s="6"/>
      <c r="V639" s="6"/>
      <c r="W639" s="7" t="str">
        <f t="shared" si="18"/>
        <v/>
      </c>
      <c r="X639" s="8" t="str">
        <f t="shared" si="19"/>
        <v/>
      </c>
      <c r="AG639" s="9"/>
      <c r="AH639" s="10"/>
    </row>
    <row r="640" spans="3:34" x14ac:dyDescent="0.35">
      <c r="C640" s="5"/>
      <c r="D640" s="5"/>
      <c r="T640" s="6"/>
      <c r="U640" s="6"/>
      <c r="V640" s="6"/>
      <c r="W640" s="7" t="str">
        <f t="shared" si="18"/>
        <v/>
      </c>
      <c r="X640" s="8" t="str">
        <f t="shared" si="19"/>
        <v/>
      </c>
      <c r="AG640" s="9"/>
      <c r="AH640" s="10"/>
    </row>
    <row r="641" spans="3:34" x14ac:dyDescent="0.35">
      <c r="C641" s="5"/>
      <c r="D641" s="5"/>
      <c r="T641" s="6"/>
      <c r="U641" s="6"/>
      <c r="V641" s="6"/>
      <c r="W641" s="7" t="str">
        <f t="shared" si="18"/>
        <v/>
      </c>
      <c r="X641" s="8" t="str">
        <f t="shared" si="19"/>
        <v/>
      </c>
      <c r="AG641" s="9"/>
      <c r="AH641" s="10"/>
    </row>
    <row r="642" spans="3:34" x14ac:dyDescent="0.35">
      <c r="C642" s="5"/>
      <c r="D642" s="5"/>
      <c r="T642" s="6"/>
      <c r="U642" s="6"/>
      <c r="V642" s="6"/>
      <c r="W642" s="7" t="str">
        <f t="shared" ref="W642:W705" si="20">IF($U642&gt;0,$U642-$V642,"")</f>
        <v/>
      </c>
      <c r="X642" s="8" t="str">
        <f t="shared" ref="X642:X705" si="21">IF($U642&gt;0,($U642-$V642)/$U642,"")</f>
        <v/>
      </c>
      <c r="AG642" s="9"/>
      <c r="AH642" s="10"/>
    </row>
    <row r="643" spans="3:34" x14ac:dyDescent="0.35">
      <c r="C643" s="5"/>
      <c r="D643" s="5"/>
      <c r="T643" s="6"/>
      <c r="U643" s="6"/>
      <c r="V643" s="6"/>
      <c r="W643" s="7" t="str">
        <f t="shared" si="20"/>
        <v/>
      </c>
      <c r="X643" s="8" t="str">
        <f t="shared" si="21"/>
        <v/>
      </c>
      <c r="AG643" s="9"/>
      <c r="AH643" s="10"/>
    </row>
    <row r="644" spans="3:34" x14ac:dyDescent="0.35">
      <c r="C644" s="5"/>
      <c r="D644" s="5"/>
      <c r="T644" s="6"/>
      <c r="U644" s="6"/>
      <c r="V644" s="6"/>
      <c r="W644" s="7" t="str">
        <f t="shared" si="20"/>
        <v/>
      </c>
      <c r="X644" s="8" t="str">
        <f t="shared" si="21"/>
        <v/>
      </c>
      <c r="AG644" s="9"/>
      <c r="AH644" s="10"/>
    </row>
    <row r="645" spans="3:34" x14ac:dyDescent="0.35">
      <c r="C645" s="5"/>
      <c r="D645" s="5"/>
      <c r="T645" s="6"/>
      <c r="U645" s="6"/>
      <c r="V645" s="6"/>
      <c r="W645" s="7" t="str">
        <f t="shared" si="20"/>
        <v/>
      </c>
      <c r="X645" s="8" t="str">
        <f t="shared" si="21"/>
        <v/>
      </c>
      <c r="AG645" s="9"/>
      <c r="AH645" s="10"/>
    </row>
    <row r="646" spans="3:34" x14ac:dyDescent="0.35">
      <c r="C646" s="5"/>
      <c r="D646" s="5"/>
      <c r="T646" s="6"/>
      <c r="U646" s="6"/>
      <c r="V646" s="6"/>
      <c r="W646" s="7" t="str">
        <f t="shared" si="20"/>
        <v/>
      </c>
      <c r="X646" s="8" t="str">
        <f t="shared" si="21"/>
        <v/>
      </c>
      <c r="AG646" s="9"/>
      <c r="AH646" s="10"/>
    </row>
    <row r="647" spans="3:34" x14ac:dyDescent="0.35">
      <c r="C647" s="5"/>
      <c r="D647" s="5"/>
      <c r="T647" s="6"/>
      <c r="U647" s="6"/>
      <c r="V647" s="6"/>
      <c r="W647" s="7" t="str">
        <f t="shared" si="20"/>
        <v/>
      </c>
      <c r="X647" s="8" t="str">
        <f t="shared" si="21"/>
        <v/>
      </c>
      <c r="AG647" s="9"/>
      <c r="AH647" s="10"/>
    </row>
    <row r="648" spans="3:34" x14ac:dyDescent="0.35">
      <c r="C648" s="5"/>
      <c r="D648" s="5"/>
      <c r="T648" s="6"/>
      <c r="U648" s="6"/>
      <c r="V648" s="6"/>
      <c r="W648" s="7" t="str">
        <f t="shared" si="20"/>
        <v/>
      </c>
      <c r="X648" s="8" t="str">
        <f t="shared" si="21"/>
        <v/>
      </c>
      <c r="AG648" s="9"/>
      <c r="AH648" s="10"/>
    </row>
    <row r="649" spans="3:34" x14ac:dyDescent="0.35">
      <c r="C649" s="5"/>
      <c r="D649" s="5"/>
      <c r="T649" s="6"/>
      <c r="U649" s="6"/>
      <c r="V649" s="6"/>
      <c r="W649" s="7" t="str">
        <f t="shared" si="20"/>
        <v/>
      </c>
      <c r="X649" s="8" t="str">
        <f t="shared" si="21"/>
        <v/>
      </c>
      <c r="AG649" s="9"/>
      <c r="AH649" s="10"/>
    </row>
    <row r="650" spans="3:34" x14ac:dyDescent="0.35">
      <c r="C650" s="5"/>
      <c r="D650" s="5"/>
      <c r="T650" s="6"/>
      <c r="U650" s="6"/>
      <c r="V650" s="6"/>
      <c r="W650" s="7" t="str">
        <f t="shared" si="20"/>
        <v/>
      </c>
      <c r="X650" s="8" t="str">
        <f t="shared" si="21"/>
        <v/>
      </c>
      <c r="AG650" s="9"/>
      <c r="AH650" s="10"/>
    </row>
    <row r="651" spans="3:34" x14ac:dyDescent="0.35">
      <c r="C651" s="5"/>
      <c r="D651" s="5"/>
      <c r="T651" s="6"/>
      <c r="U651" s="6"/>
      <c r="V651" s="6"/>
      <c r="W651" s="7" t="str">
        <f t="shared" si="20"/>
        <v/>
      </c>
      <c r="X651" s="8" t="str">
        <f t="shared" si="21"/>
        <v/>
      </c>
      <c r="AG651" s="9"/>
      <c r="AH651" s="10"/>
    </row>
    <row r="652" spans="3:34" x14ac:dyDescent="0.35">
      <c r="C652" s="5"/>
      <c r="D652" s="5"/>
      <c r="T652" s="6"/>
      <c r="U652" s="6"/>
      <c r="V652" s="6"/>
      <c r="W652" s="7" t="str">
        <f t="shared" si="20"/>
        <v/>
      </c>
      <c r="X652" s="8" t="str">
        <f t="shared" si="21"/>
        <v/>
      </c>
      <c r="AG652" s="9"/>
      <c r="AH652" s="10"/>
    </row>
    <row r="653" spans="3:34" x14ac:dyDescent="0.35">
      <c r="C653" s="5"/>
      <c r="D653" s="5"/>
      <c r="T653" s="6"/>
      <c r="U653" s="6"/>
      <c r="V653" s="6"/>
      <c r="W653" s="7" t="str">
        <f t="shared" si="20"/>
        <v/>
      </c>
      <c r="X653" s="8" t="str">
        <f t="shared" si="21"/>
        <v/>
      </c>
      <c r="AG653" s="9"/>
      <c r="AH653" s="10"/>
    </row>
    <row r="654" spans="3:34" x14ac:dyDescent="0.35">
      <c r="C654" s="5"/>
      <c r="D654" s="5"/>
      <c r="T654" s="6"/>
      <c r="U654" s="6"/>
      <c r="V654" s="6"/>
      <c r="W654" s="7" t="str">
        <f t="shared" si="20"/>
        <v/>
      </c>
      <c r="X654" s="8" t="str">
        <f t="shared" si="21"/>
        <v/>
      </c>
      <c r="AG654" s="9"/>
      <c r="AH654" s="10"/>
    </row>
    <row r="655" spans="3:34" x14ac:dyDescent="0.35">
      <c r="C655" s="5"/>
      <c r="D655" s="5"/>
      <c r="T655" s="6"/>
      <c r="U655" s="6"/>
      <c r="V655" s="6"/>
      <c r="W655" s="7" t="str">
        <f t="shared" si="20"/>
        <v/>
      </c>
      <c r="X655" s="8" t="str">
        <f t="shared" si="21"/>
        <v/>
      </c>
      <c r="AG655" s="9"/>
      <c r="AH655" s="10"/>
    </row>
    <row r="656" spans="3:34" x14ac:dyDescent="0.35">
      <c r="C656" s="5"/>
      <c r="D656" s="5"/>
      <c r="T656" s="6"/>
      <c r="U656" s="6"/>
      <c r="V656" s="6"/>
      <c r="W656" s="7" t="str">
        <f t="shared" si="20"/>
        <v/>
      </c>
      <c r="X656" s="8" t="str">
        <f t="shared" si="21"/>
        <v/>
      </c>
      <c r="AG656" s="9"/>
      <c r="AH656" s="10"/>
    </row>
    <row r="657" spans="3:34" x14ac:dyDescent="0.35">
      <c r="C657" s="5"/>
      <c r="D657" s="5"/>
      <c r="T657" s="6"/>
      <c r="U657" s="6"/>
      <c r="V657" s="6"/>
      <c r="W657" s="7" t="str">
        <f t="shared" si="20"/>
        <v/>
      </c>
      <c r="X657" s="8" t="str">
        <f t="shared" si="21"/>
        <v/>
      </c>
      <c r="AG657" s="9"/>
      <c r="AH657" s="10"/>
    </row>
    <row r="658" spans="3:34" x14ac:dyDescent="0.35">
      <c r="C658" s="5"/>
      <c r="D658" s="5"/>
      <c r="T658" s="6"/>
      <c r="U658" s="6"/>
      <c r="V658" s="6"/>
      <c r="W658" s="7" t="str">
        <f t="shared" si="20"/>
        <v/>
      </c>
      <c r="X658" s="8" t="str">
        <f t="shared" si="21"/>
        <v/>
      </c>
      <c r="AG658" s="9"/>
      <c r="AH658" s="10"/>
    </row>
    <row r="659" spans="3:34" x14ac:dyDescent="0.35">
      <c r="C659" s="5"/>
      <c r="D659" s="5"/>
      <c r="T659" s="6"/>
      <c r="U659" s="6"/>
      <c r="V659" s="6"/>
      <c r="W659" s="7" t="str">
        <f t="shared" si="20"/>
        <v/>
      </c>
      <c r="X659" s="8" t="str">
        <f t="shared" si="21"/>
        <v/>
      </c>
      <c r="AG659" s="9"/>
      <c r="AH659" s="10"/>
    </row>
    <row r="660" spans="3:34" x14ac:dyDescent="0.35">
      <c r="C660" s="5"/>
      <c r="D660" s="5"/>
      <c r="T660" s="6"/>
      <c r="U660" s="6"/>
      <c r="V660" s="6"/>
      <c r="W660" s="7" t="str">
        <f t="shared" si="20"/>
        <v/>
      </c>
      <c r="X660" s="8" t="str">
        <f t="shared" si="21"/>
        <v/>
      </c>
      <c r="AG660" s="9"/>
      <c r="AH660" s="10"/>
    </row>
    <row r="661" spans="3:34" x14ac:dyDescent="0.35">
      <c r="C661" s="5"/>
      <c r="D661" s="5"/>
      <c r="T661" s="6"/>
      <c r="U661" s="6"/>
      <c r="V661" s="6"/>
      <c r="W661" s="7" t="str">
        <f t="shared" si="20"/>
        <v/>
      </c>
      <c r="X661" s="8" t="str">
        <f t="shared" si="21"/>
        <v/>
      </c>
      <c r="AG661" s="9"/>
      <c r="AH661" s="10"/>
    </row>
    <row r="662" spans="3:34" x14ac:dyDescent="0.35">
      <c r="C662" s="5"/>
      <c r="D662" s="5"/>
      <c r="T662" s="6"/>
      <c r="U662" s="6"/>
      <c r="V662" s="6"/>
      <c r="W662" s="7" t="str">
        <f t="shared" si="20"/>
        <v/>
      </c>
      <c r="X662" s="8" t="str">
        <f t="shared" si="21"/>
        <v/>
      </c>
      <c r="AG662" s="9"/>
      <c r="AH662" s="10"/>
    </row>
    <row r="663" spans="3:34" x14ac:dyDescent="0.35">
      <c r="C663" s="5"/>
      <c r="D663" s="5"/>
      <c r="T663" s="6"/>
      <c r="U663" s="6"/>
      <c r="V663" s="6"/>
      <c r="W663" s="7" t="str">
        <f t="shared" si="20"/>
        <v/>
      </c>
      <c r="X663" s="8" t="str">
        <f t="shared" si="21"/>
        <v/>
      </c>
      <c r="AG663" s="9"/>
      <c r="AH663" s="10"/>
    </row>
    <row r="664" spans="3:34" x14ac:dyDescent="0.35">
      <c r="C664" s="5"/>
      <c r="D664" s="5"/>
      <c r="T664" s="6"/>
      <c r="U664" s="6"/>
      <c r="V664" s="6"/>
      <c r="W664" s="7" t="str">
        <f t="shared" si="20"/>
        <v/>
      </c>
      <c r="X664" s="8" t="str">
        <f t="shared" si="21"/>
        <v/>
      </c>
      <c r="AG664" s="9"/>
      <c r="AH664" s="10"/>
    </row>
    <row r="665" spans="3:34" x14ac:dyDescent="0.35">
      <c r="C665" s="5"/>
      <c r="D665" s="5"/>
      <c r="T665" s="6"/>
      <c r="U665" s="6"/>
      <c r="V665" s="6"/>
      <c r="W665" s="7" t="str">
        <f t="shared" si="20"/>
        <v/>
      </c>
      <c r="X665" s="8" t="str">
        <f t="shared" si="21"/>
        <v/>
      </c>
      <c r="AG665" s="9"/>
      <c r="AH665" s="10"/>
    </row>
    <row r="666" spans="3:34" x14ac:dyDescent="0.35">
      <c r="C666" s="5"/>
      <c r="D666" s="5"/>
      <c r="T666" s="6"/>
      <c r="U666" s="6"/>
      <c r="V666" s="6"/>
      <c r="W666" s="7" t="str">
        <f t="shared" si="20"/>
        <v/>
      </c>
      <c r="X666" s="8" t="str">
        <f t="shared" si="21"/>
        <v/>
      </c>
      <c r="AG666" s="9"/>
      <c r="AH666" s="10"/>
    </row>
    <row r="667" spans="3:34" x14ac:dyDescent="0.35">
      <c r="C667" s="5"/>
      <c r="D667" s="5"/>
      <c r="T667" s="6"/>
      <c r="U667" s="6"/>
      <c r="V667" s="6"/>
      <c r="W667" s="7" t="str">
        <f t="shared" si="20"/>
        <v/>
      </c>
      <c r="X667" s="8" t="str">
        <f t="shared" si="21"/>
        <v/>
      </c>
      <c r="AG667" s="9"/>
      <c r="AH667" s="10"/>
    </row>
    <row r="668" spans="3:34" x14ac:dyDescent="0.35">
      <c r="C668" s="5"/>
      <c r="D668" s="5"/>
      <c r="T668" s="6"/>
      <c r="U668" s="6"/>
      <c r="V668" s="6"/>
      <c r="W668" s="7" t="str">
        <f t="shared" si="20"/>
        <v/>
      </c>
      <c r="X668" s="8" t="str">
        <f t="shared" si="21"/>
        <v/>
      </c>
      <c r="AG668" s="9"/>
      <c r="AH668" s="10"/>
    </row>
    <row r="669" spans="3:34" x14ac:dyDescent="0.35">
      <c r="C669" s="5"/>
      <c r="D669" s="5"/>
      <c r="T669" s="6"/>
      <c r="U669" s="6"/>
      <c r="V669" s="6"/>
      <c r="W669" s="7" t="str">
        <f t="shared" si="20"/>
        <v/>
      </c>
      <c r="X669" s="8" t="str">
        <f t="shared" si="21"/>
        <v/>
      </c>
      <c r="AG669" s="9"/>
      <c r="AH669" s="10"/>
    </row>
    <row r="670" spans="3:34" x14ac:dyDescent="0.35">
      <c r="C670" s="5"/>
      <c r="D670" s="5"/>
      <c r="T670" s="6"/>
      <c r="U670" s="6"/>
      <c r="V670" s="6"/>
      <c r="W670" s="7" t="str">
        <f t="shared" si="20"/>
        <v/>
      </c>
      <c r="X670" s="8" t="str">
        <f t="shared" si="21"/>
        <v/>
      </c>
      <c r="AG670" s="9"/>
      <c r="AH670" s="10"/>
    </row>
    <row r="671" spans="3:34" x14ac:dyDescent="0.35">
      <c r="C671" s="5"/>
      <c r="D671" s="5"/>
      <c r="T671" s="6"/>
      <c r="U671" s="6"/>
      <c r="V671" s="6"/>
      <c r="W671" s="7" t="str">
        <f t="shared" si="20"/>
        <v/>
      </c>
      <c r="X671" s="8" t="str">
        <f t="shared" si="21"/>
        <v/>
      </c>
      <c r="AG671" s="9"/>
      <c r="AH671" s="10"/>
    </row>
    <row r="672" spans="3:34" x14ac:dyDescent="0.35">
      <c r="C672" s="5"/>
      <c r="D672" s="5"/>
      <c r="T672" s="6"/>
      <c r="U672" s="6"/>
      <c r="V672" s="6"/>
      <c r="W672" s="7" t="str">
        <f t="shared" si="20"/>
        <v/>
      </c>
      <c r="X672" s="8" t="str">
        <f t="shared" si="21"/>
        <v/>
      </c>
      <c r="AG672" s="9"/>
      <c r="AH672" s="10"/>
    </row>
    <row r="673" spans="3:34" x14ac:dyDescent="0.35">
      <c r="C673" s="5"/>
      <c r="D673" s="5"/>
      <c r="T673" s="6"/>
      <c r="U673" s="6"/>
      <c r="V673" s="6"/>
      <c r="W673" s="7" t="str">
        <f t="shared" si="20"/>
        <v/>
      </c>
      <c r="X673" s="8" t="str">
        <f t="shared" si="21"/>
        <v/>
      </c>
      <c r="AG673" s="9"/>
      <c r="AH673" s="10"/>
    </row>
    <row r="674" spans="3:34" x14ac:dyDescent="0.35">
      <c r="C674" s="5"/>
      <c r="D674" s="5"/>
      <c r="T674" s="6"/>
      <c r="U674" s="6"/>
      <c r="V674" s="6"/>
      <c r="W674" s="7" t="str">
        <f t="shared" si="20"/>
        <v/>
      </c>
      <c r="X674" s="8" t="str">
        <f t="shared" si="21"/>
        <v/>
      </c>
      <c r="AG674" s="9"/>
      <c r="AH674" s="10"/>
    </row>
    <row r="675" spans="3:34" x14ac:dyDescent="0.35">
      <c r="C675" s="5"/>
      <c r="D675" s="5"/>
      <c r="T675" s="6"/>
      <c r="U675" s="6"/>
      <c r="V675" s="6"/>
      <c r="W675" s="7" t="str">
        <f t="shared" si="20"/>
        <v/>
      </c>
      <c r="X675" s="8" t="str">
        <f t="shared" si="21"/>
        <v/>
      </c>
      <c r="AG675" s="9"/>
      <c r="AH675" s="10"/>
    </row>
    <row r="676" spans="3:34" x14ac:dyDescent="0.35">
      <c r="C676" s="5"/>
      <c r="D676" s="5"/>
      <c r="T676" s="6"/>
      <c r="U676" s="6"/>
      <c r="V676" s="6"/>
      <c r="W676" s="7" t="str">
        <f t="shared" si="20"/>
        <v/>
      </c>
      <c r="X676" s="8" t="str">
        <f t="shared" si="21"/>
        <v/>
      </c>
      <c r="AG676" s="9"/>
      <c r="AH676" s="10"/>
    </row>
    <row r="677" spans="3:34" x14ac:dyDescent="0.35">
      <c r="C677" s="5"/>
      <c r="D677" s="5"/>
      <c r="T677" s="6"/>
      <c r="U677" s="6"/>
      <c r="V677" s="6"/>
      <c r="W677" s="7" t="str">
        <f t="shared" si="20"/>
        <v/>
      </c>
      <c r="X677" s="8" t="str">
        <f t="shared" si="21"/>
        <v/>
      </c>
      <c r="AG677" s="9"/>
      <c r="AH677" s="10"/>
    </row>
    <row r="678" spans="3:34" x14ac:dyDescent="0.35">
      <c r="C678" s="5"/>
      <c r="D678" s="5"/>
      <c r="T678" s="6"/>
      <c r="U678" s="6"/>
      <c r="V678" s="6"/>
      <c r="W678" s="7" t="str">
        <f t="shared" si="20"/>
        <v/>
      </c>
      <c r="X678" s="8" t="str">
        <f t="shared" si="21"/>
        <v/>
      </c>
      <c r="AG678" s="9"/>
      <c r="AH678" s="10"/>
    </row>
    <row r="679" spans="3:34" x14ac:dyDescent="0.35">
      <c r="C679" s="5"/>
      <c r="D679" s="5"/>
      <c r="T679" s="6"/>
      <c r="U679" s="6"/>
      <c r="V679" s="6"/>
      <c r="W679" s="7" t="str">
        <f t="shared" si="20"/>
        <v/>
      </c>
      <c r="X679" s="8" t="str">
        <f t="shared" si="21"/>
        <v/>
      </c>
      <c r="AG679" s="9"/>
      <c r="AH679" s="10"/>
    </row>
    <row r="680" spans="3:34" x14ac:dyDescent="0.35">
      <c r="C680" s="5"/>
      <c r="D680" s="5"/>
      <c r="T680" s="6"/>
      <c r="U680" s="6"/>
      <c r="V680" s="6"/>
      <c r="W680" s="7" t="str">
        <f t="shared" si="20"/>
        <v/>
      </c>
      <c r="X680" s="8" t="str">
        <f t="shared" si="21"/>
        <v/>
      </c>
      <c r="AG680" s="9"/>
      <c r="AH680" s="10"/>
    </row>
    <row r="681" spans="3:34" x14ac:dyDescent="0.35">
      <c r="C681" s="5"/>
      <c r="D681" s="5"/>
      <c r="T681" s="6"/>
      <c r="U681" s="6"/>
      <c r="V681" s="6"/>
      <c r="W681" s="7" t="str">
        <f t="shared" si="20"/>
        <v/>
      </c>
      <c r="X681" s="8" t="str">
        <f t="shared" si="21"/>
        <v/>
      </c>
      <c r="AG681" s="9"/>
      <c r="AH681" s="10"/>
    </row>
    <row r="682" spans="3:34" x14ac:dyDescent="0.35">
      <c r="C682" s="5"/>
      <c r="D682" s="5"/>
      <c r="T682" s="6"/>
      <c r="U682" s="6"/>
      <c r="V682" s="6"/>
      <c r="W682" s="7" t="str">
        <f t="shared" si="20"/>
        <v/>
      </c>
      <c r="X682" s="8" t="str">
        <f t="shared" si="21"/>
        <v/>
      </c>
      <c r="AG682" s="9"/>
      <c r="AH682" s="10"/>
    </row>
    <row r="683" spans="3:34" x14ac:dyDescent="0.35">
      <c r="C683" s="5"/>
      <c r="D683" s="5"/>
      <c r="T683" s="6"/>
      <c r="U683" s="6"/>
      <c r="V683" s="6"/>
      <c r="W683" s="7" t="str">
        <f t="shared" si="20"/>
        <v/>
      </c>
      <c r="X683" s="8" t="str">
        <f t="shared" si="21"/>
        <v/>
      </c>
      <c r="AG683" s="9"/>
      <c r="AH683" s="10"/>
    </row>
    <row r="684" spans="3:34" x14ac:dyDescent="0.35">
      <c r="C684" s="5"/>
      <c r="D684" s="5"/>
      <c r="T684" s="6"/>
      <c r="U684" s="6"/>
      <c r="V684" s="6"/>
      <c r="W684" s="7" t="str">
        <f t="shared" si="20"/>
        <v/>
      </c>
      <c r="X684" s="8" t="str">
        <f t="shared" si="21"/>
        <v/>
      </c>
      <c r="AG684" s="9"/>
      <c r="AH684" s="10"/>
    </row>
    <row r="685" spans="3:34" x14ac:dyDescent="0.35">
      <c r="C685" s="5"/>
      <c r="D685" s="5"/>
      <c r="T685" s="6"/>
      <c r="U685" s="6"/>
      <c r="V685" s="6"/>
      <c r="W685" s="7" t="str">
        <f t="shared" si="20"/>
        <v/>
      </c>
      <c r="X685" s="8" t="str">
        <f t="shared" si="21"/>
        <v/>
      </c>
      <c r="AG685" s="9"/>
      <c r="AH685" s="10"/>
    </row>
    <row r="686" spans="3:34" x14ac:dyDescent="0.35">
      <c r="C686" s="5"/>
      <c r="D686" s="5"/>
      <c r="T686" s="6"/>
      <c r="U686" s="6"/>
      <c r="V686" s="6"/>
      <c r="W686" s="7" t="str">
        <f t="shared" si="20"/>
        <v/>
      </c>
      <c r="X686" s="8" t="str">
        <f t="shared" si="21"/>
        <v/>
      </c>
      <c r="AG686" s="9"/>
      <c r="AH686" s="10"/>
    </row>
    <row r="687" spans="3:34" x14ac:dyDescent="0.35">
      <c r="C687" s="5"/>
      <c r="D687" s="5"/>
      <c r="T687" s="6"/>
      <c r="U687" s="6"/>
      <c r="V687" s="6"/>
      <c r="W687" s="7" t="str">
        <f t="shared" si="20"/>
        <v/>
      </c>
      <c r="X687" s="8" t="str">
        <f t="shared" si="21"/>
        <v/>
      </c>
      <c r="AG687" s="9"/>
      <c r="AH687" s="10"/>
    </row>
    <row r="688" spans="3:34" x14ac:dyDescent="0.35">
      <c r="C688" s="5"/>
      <c r="D688" s="5"/>
      <c r="T688" s="6"/>
      <c r="U688" s="6"/>
      <c r="V688" s="6"/>
      <c r="W688" s="7" t="str">
        <f t="shared" si="20"/>
        <v/>
      </c>
      <c r="X688" s="8" t="str">
        <f t="shared" si="21"/>
        <v/>
      </c>
      <c r="AG688" s="9"/>
      <c r="AH688" s="10"/>
    </row>
    <row r="689" spans="3:34" x14ac:dyDescent="0.35">
      <c r="C689" s="5"/>
      <c r="D689" s="5"/>
      <c r="T689" s="6"/>
      <c r="U689" s="6"/>
      <c r="V689" s="6"/>
      <c r="W689" s="7" t="str">
        <f t="shared" si="20"/>
        <v/>
      </c>
      <c r="X689" s="8" t="str">
        <f t="shared" si="21"/>
        <v/>
      </c>
      <c r="AG689" s="9"/>
      <c r="AH689" s="10"/>
    </row>
    <row r="690" spans="3:34" x14ac:dyDescent="0.35">
      <c r="C690" s="5"/>
      <c r="D690" s="5"/>
      <c r="T690" s="6"/>
      <c r="U690" s="6"/>
      <c r="V690" s="6"/>
      <c r="W690" s="7" t="str">
        <f t="shared" si="20"/>
        <v/>
      </c>
      <c r="X690" s="8" t="str">
        <f t="shared" si="21"/>
        <v/>
      </c>
      <c r="AG690" s="9"/>
      <c r="AH690" s="10"/>
    </row>
    <row r="691" spans="3:34" x14ac:dyDescent="0.35">
      <c r="C691" s="5"/>
      <c r="D691" s="5"/>
      <c r="T691" s="6"/>
      <c r="U691" s="6"/>
      <c r="V691" s="6"/>
      <c r="W691" s="7" t="str">
        <f t="shared" si="20"/>
        <v/>
      </c>
      <c r="X691" s="8" t="str">
        <f t="shared" si="21"/>
        <v/>
      </c>
      <c r="AG691" s="9"/>
      <c r="AH691" s="10"/>
    </row>
    <row r="692" spans="3:34" x14ac:dyDescent="0.35">
      <c r="C692" s="5"/>
      <c r="D692" s="5"/>
      <c r="T692" s="6"/>
      <c r="U692" s="6"/>
      <c r="V692" s="6"/>
      <c r="W692" s="7" t="str">
        <f t="shared" si="20"/>
        <v/>
      </c>
      <c r="X692" s="8" t="str">
        <f t="shared" si="21"/>
        <v/>
      </c>
      <c r="AG692" s="9"/>
      <c r="AH692" s="10"/>
    </row>
    <row r="693" spans="3:34" x14ac:dyDescent="0.35">
      <c r="C693" s="5"/>
      <c r="D693" s="5"/>
      <c r="T693" s="6"/>
      <c r="U693" s="6"/>
      <c r="V693" s="6"/>
      <c r="W693" s="7" t="str">
        <f t="shared" si="20"/>
        <v/>
      </c>
      <c r="X693" s="8" t="str">
        <f t="shared" si="21"/>
        <v/>
      </c>
      <c r="AG693" s="9"/>
      <c r="AH693" s="10"/>
    </row>
    <row r="694" spans="3:34" x14ac:dyDescent="0.35">
      <c r="C694" s="5"/>
      <c r="D694" s="5"/>
      <c r="T694" s="6"/>
      <c r="U694" s="6"/>
      <c r="V694" s="6"/>
      <c r="W694" s="7" t="str">
        <f t="shared" si="20"/>
        <v/>
      </c>
      <c r="X694" s="8" t="str">
        <f t="shared" si="21"/>
        <v/>
      </c>
      <c r="AG694" s="9"/>
      <c r="AH694" s="10"/>
    </row>
    <row r="695" spans="3:34" x14ac:dyDescent="0.35">
      <c r="C695" s="5"/>
      <c r="D695" s="5"/>
      <c r="T695" s="6"/>
      <c r="U695" s="6"/>
      <c r="V695" s="6"/>
      <c r="W695" s="7" t="str">
        <f t="shared" si="20"/>
        <v/>
      </c>
      <c r="X695" s="8" t="str">
        <f t="shared" si="21"/>
        <v/>
      </c>
      <c r="AG695" s="9"/>
      <c r="AH695" s="10"/>
    </row>
    <row r="696" spans="3:34" x14ac:dyDescent="0.35">
      <c r="C696" s="5"/>
      <c r="D696" s="5"/>
      <c r="T696" s="6"/>
      <c r="U696" s="6"/>
      <c r="V696" s="6"/>
      <c r="W696" s="7" t="str">
        <f t="shared" si="20"/>
        <v/>
      </c>
      <c r="X696" s="8" t="str">
        <f t="shared" si="21"/>
        <v/>
      </c>
      <c r="AG696" s="9"/>
      <c r="AH696" s="10"/>
    </row>
    <row r="697" spans="3:34" x14ac:dyDescent="0.35">
      <c r="C697" s="5"/>
      <c r="D697" s="5"/>
      <c r="T697" s="6"/>
      <c r="U697" s="6"/>
      <c r="V697" s="6"/>
      <c r="W697" s="7" t="str">
        <f t="shared" si="20"/>
        <v/>
      </c>
      <c r="X697" s="8" t="str">
        <f t="shared" si="21"/>
        <v/>
      </c>
      <c r="AG697" s="9"/>
      <c r="AH697" s="10"/>
    </row>
    <row r="698" spans="3:34" x14ac:dyDescent="0.35">
      <c r="C698" s="5"/>
      <c r="D698" s="5"/>
      <c r="T698" s="6"/>
      <c r="U698" s="6"/>
      <c r="V698" s="6"/>
      <c r="W698" s="7" t="str">
        <f t="shared" si="20"/>
        <v/>
      </c>
      <c r="X698" s="8" t="str">
        <f t="shared" si="21"/>
        <v/>
      </c>
      <c r="AG698" s="9"/>
      <c r="AH698" s="10"/>
    </row>
    <row r="699" spans="3:34" x14ac:dyDescent="0.35">
      <c r="C699" s="5"/>
      <c r="D699" s="5"/>
      <c r="T699" s="6"/>
      <c r="U699" s="6"/>
      <c r="V699" s="6"/>
      <c r="W699" s="7" t="str">
        <f t="shared" si="20"/>
        <v/>
      </c>
      <c r="X699" s="8" t="str">
        <f t="shared" si="21"/>
        <v/>
      </c>
      <c r="AG699" s="9"/>
      <c r="AH699" s="10"/>
    </row>
    <row r="700" spans="3:34" x14ac:dyDescent="0.35">
      <c r="C700" s="5"/>
      <c r="D700" s="5"/>
      <c r="T700" s="6"/>
      <c r="U700" s="6"/>
      <c r="V700" s="6"/>
      <c r="W700" s="7" t="str">
        <f t="shared" si="20"/>
        <v/>
      </c>
      <c r="X700" s="8" t="str">
        <f t="shared" si="21"/>
        <v/>
      </c>
      <c r="AG700" s="9"/>
      <c r="AH700" s="10"/>
    </row>
    <row r="701" spans="3:34" x14ac:dyDescent="0.35">
      <c r="C701" s="5"/>
      <c r="D701" s="5"/>
      <c r="T701" s="6"/>
      <c r="U701" s="6"/>
      <c r="V701" s="6"/>
      <c r="W701" s="7" t="str">
        <f t="shared" si="20"/>
        <v/>
      </c>
      <c r="X701" s="8" t="str">
        <f t="shared" si="21"/>
        <v/>
      </c>
      <c r="AG701" s="9"/>
      <c r="AH701" s="10"/>
    </row>
    <row r="702" spans="3:34" x14ac:dyDescent="0.35">
      <c r="C702" s="5"/>
      <c r="D702" s="5"/>
      <c r="T702" s="6"/>
      <c r="U702" s="6"/>
      <c r="V702" s="6"/>
      <c r="W702" s="7" t="str">
        <f t="shared" si="20"/>
        <v/>
      </c>
      <c r="X702" s="8" t="str">
        <f t="shared" si="21"/>
        <v/>
      </c>
      <c r="AG702" s="9"/>
      <c r="AH702" s="10"/>
    </row>
    <row r="703" spans="3:34" x14ac:dyDescent="0.35">
      <c r="C703" s="5"/>
      <c r="D703" s="5"/>
      <c r="T703" s="6"/>
      <c r="U703" s="6"/>
      <c r="V703" s="6"/>
      <c r="W703" s="7" t="str">
        <f t="shared" si="20"/>
        <v/>
      </c>
      <c r="X703" s="8" t="str">
        <f t="shared" si="21"/>
        <v/>
      </c>
      <c r="AG703" s="9"/>
      <c r="AH703" s="10"/>
    </row>
    <row r="704" spans="3:34" x14ac:dyDescent="0.35">
      <c r="C704" s="5"/>
      <c r="D704" s="5"/>
      <c r="T704" s="6"/>
      <c r="U704" s="6"/>
      <c r="V704" s="6"/>
      <c r="W704" s="7" t="str">
        <f t="shared" si="20"/>
        <v/>
      </c>
      <c r="X704" s="8" t="str">
        <f t="shared" si="21"/>
        <v/>
      </c>
      <c r="AG704" s="9"/>
      <c r="AH704" s="10"/>
    </row>
    <row r="705" spans="3:34" x14ac:dyDescent="0.35">
      <c r="C705" s="5"/>
      <c r="D705" s="5"/>
      <c r="T705" s="6"/>
      <c r="U705" s="6"/>
      <c r="V705" s="6"/>
      <c r="W705" s="7" t="str">
        <f t="shared" si="20"/>
        <v/>
      </c>
      <c r="X705" s="8" t="str">
        <f t="shared" si="21"/>
        <v/>
      </c>
      <c r="AG705" s="9"/>
      <c r="AH705" s="10"/>
    </row>
    <row r="706" spans="3:34" x14ac:dyDescent="0.35">
      <c r="C706" s="5"/>
      <c r="D706" s="5"/>
      <c r="T706" s="6"/>
      <c r="U706" s="6"/>
      <c r="V706" s="6"/>
      <c r="W706" s="7" t="str">
        <f t="shared" ref="W706:W769" si="22">IF($U706&gt;0,$U706-$V706,"")</f>
        <v/>
      </c>
      <c r="X706" s="8" t="str">
        <f t="shared" ref="X706:X769" si="23">IF($U706&gt;0,($U706-$V706)/$U706,"")</f>
        <v/>
      </c>
      <c r="AG706" s="9"/>
      <c r="AH706" s="10"/>
    </row>
    <row r="707" spans="3:34" x14ac:dyDescent="0.35">
      <c r="C707" s="5"/>
      <c r="D707" s="5"/>
      <c r="T707" s="6"/>
      <c r="U707" s="6"/>
      <c r="V707" s="6"/>
      <c r="W707" s="7" t="str">
        <f t="shared" si="22"/>
        <v/>
      </c>
      <c r="X707" s="8" t="str">
        <f t="shared" si="23"/>
        <v/>
      </c>
      <c r="AG707" s="9"/>
      <c r="AH707" s="10"/>
    </row>
    <row r="708" spans="3:34" x14ac:dyDescent="0.35">
      <c r="C708" s="5"/>
      <c r="D708" s="5"/>
      <c r="T708" s="6"/>
      <c r="U708" s="6"/>
      <c r="V708" s="6"/>
      <c r="W708" s="7" t="str">
        <f t="shared" si="22"/>
        <v/>
      </c>
      <c r="X708" s="8" t="str">
        <f t="shared" si="23"/>
        <v/>
      </c>
      <c r="AG708" s="9"/>
      <c r="AH708" s="10"/>
    </row>
    <row r="709" spans="3:34" x14ac:dyDescent="0.35">
      <c r="C709" s="5"/>
      <c r="D709" s="5"/>
      <c r="T709" s="6"/>
      <c r="U709" s="6"/>
      <c r="V709" s="6"/>
      <c r="W709" s="7" t="str">
        <f t="shared" si="22"/>
        <v/>
      </c>
      <c r="X709" s="8" t="str">
        <f t="shared" si="23"/>
        <v/>
      </c>
      <c r="AG709" s="9"/>
      <c r="AH709" s="10"/>
    </row>
    <row r="710" spans="3:34" x14ac:dyDescent="0.35">
      <c r="C710" s="5"/>
      <c r="D710" s="5"/>
      <c r="T710" s="6"/>
      <c r="U710" s="6"/>
      <c r="V710" s="6"/>
      <c r="W710" s="7" t="str">
        <f t="shared" si="22"/>
        <v/>
      </c>
      <c r="X710" s="8" t="str">
        <f t="shared" si="23"/>
        <v/>
      </c>
      <c r="AG710" s="9"/>
      <c r="AH710" s="10"/>
    </row>
    <row r="711" spans="3:34" x14ac:dyDescent="0.35">
      <c r="C711" s="5"/>
      <c r="D711" s="5"/>
      <c r="T711" s="6"/>
      <c r="U711" s="6"/>
      <c r="V711" s="6"/>
      <c r="W711" s="7" t="str">
        <f t="shared" si="22"/>
        <v/>
      </c>
      <c r="X711" s="8" t="str">
        <f t="shared" si="23"/>
        <v/>
      </c>
      <c r="AG711" s="9"/>
      <c r="AH711" s="10"/>
    </row>
    <row r="712" spans="3:34" x14ac:dyDescent="0.35">
      <c r="C712" s="5"/>
      <c r="D712" s="5"/>
      <c r="T712" s="6"/>
      <c r="U712" s="6"/>
      <c r="V712" s="6"/>
      <c r="W712" s="7" t="str">
        <f t="shared" si="22"/>
        <v/>
      </c>
      <c r="X712" s="8" t="str">
        <f t="shared" si="23"/>
        <v/>
      </c>
      <c r="AG712" s="9"/>
      <c r="AH712" s="10"/>
    </row>
    <row r="713" spans="3:34" x14ac:dyDescent="0.35">
      <c r="C713" s="5"/>
      <c r="D713" s="5"/>
      <c r="T713" s="6"/>
      <c r="U713" s="6"/>
      <c r="V713" s="6"/>
      <c r="W713" s="7" t="str">
        <f t="shared" si="22"/>
        <v/>
      </c>
      <c r="X713" s="8" t="str">
        <f t="shared" si="23"/>
        <v/>
      </c>
      <c r="AG713" s="9"/>
      <c r="AH713" s="10"/>
    </row>
    <row r="714" spans="3:34" x14ac:dyDescent="0.35">
      <c r="C714" s="5"/>
      <c r="D714" s="5"/>
      <c r="T714" s="6"/>
      <c r="U714" s="6"/>
      <c r="V714" s="6"/>
      <c r="W714" s="7" t="str">
        <f t="shared" si="22"/>
        <v/>
      </c>
      <c r="X714" s="8" t="str">
        <f t="shared" si="23"/>
        <v/>
      </c>
      <c r="AG714" s="9"/>
      <c r="AH714" s="10"/>
    </row>
    <row r="715" spans="3:34" x14ac:dyDescent="0.35">
      <c r="C715" s="5"/>
      <c r="D715" s="5"/>
      <c r="T715" s="6"/>
      <c r="U715" s="6"/>
      <c r="V715" s="6"/>
      <c r="W715" s="7" t="str">
        <f t="shared" si="22"/>
        <v/>
      </c>
      <c r="X715" s="8" t="str">
        <f t="shared" si="23"/>
        <v/>
      </c>
      <c r="AG715" s="9"/>
      <c r="AH715" s="10"/>
    </row>
    <row r="716" spans="3:34" x14ac:dyDescent="0.35">
      <c r="C716" s="5"/>
      <c r="D716" s="5"/>
      <c r="T716" s="6"/>
      <c r="U716" s="6"/>
      <c r="V716" s="6"/>
      <c r="W716" s="7" t="str">
        <f t="shared" si="22"/>
        <v/>
      </c>
      <c r="X716" s="8" t="str">
        <f t="shared" si="23"/>
        <v/>
      </c>
      <c r="AG716" s="9"/>
      <c r="AH716" s="10"/>
    </row>
    <row r="717" spans="3:34" x14ac:dyDescent="0.35">
      <c r="C717" s="5"/>
      <c r="D717" s="5"/>
      <c r="T717" s="6"/>
      <c r="U717" s="6"/>
      <c r="V717" s="6"/>
      <c r="W717" s="7" t="str">
        <f t="shared" si="22"/>
        <v/>
      </c>
      <c r="X717" s="8" t="str">
        <f t="shared" si="23"/>
        <v/>
      </c>
      <c r="AG717" s="9"/>
      <c r="AH717" s="10"/>
    </row>
    <row r="718" spans="3:34" x14ac:dyDescent="0.35">
      <c r="C718" s="5"/>
      <c r="D718" s="5"/>
      <c r="T718" s="6"/>
      <c r="U718" s="6"/>
      <c r="V718" s="6"/>
      <c r="W718" s="7" t="str">
        <f t="shared" si="22"/>
        <v/>
      </c>
      <c r="X718" s="8" t="str">
        <f t="shared" si="23"/>
        <v/>
      </c>
      <c r="AG718" s="9"/>
      <c r="AH718" s="10"/>
    </row>
    <row r="719" spans="3:34" x14ac:dyDescent="0.35">
      <c r="C719" s="5"/>
      <c r="D719" s="5"/>
      <c r="T719" s="6"/>
      <c r="U719" s="6"/>
      <c r="V719" s="6"/>
      <c r="W719" s="7" t="str">
        <f t="shared" si="22"/>
        <v/>
      </c>
      <c r="X719" s="8" t="str">
        <f t="shared" si="23"/>
        <v/>
      </c>
      <c r="AG719" s="9"/>
      <c r="AH719" s="10"/>
    </row>
    <row r="720" spans="3:34" x14ac:dyDescent="0.35">
      <c r="C720" s="5"/>
      <c r="D720" s="5"/>
      <c r="T720" s="6"/>
      <c r="U720" s="6"/>
      <c r="V720" s="6"/>
      <c r="W720" s="7" t="str">
        <f t="shared" si="22"/>
        <v/>
      </c>
      <c r="X720" s="8" t="str">
        <f t="shared" si="23"/>
        <v/>
      </c>
      <c r="AG720" s="9"/>
      <c r="AH720" s="10"/>
    </row>
    <row r="721" spans="3:34" x14ac:dyDescent="0.35">
      <c r="C721" s="5"/>
      <c r="D721" s="5"/>
      <c r="T721" s="6"/>
      <c r="U721" s="6"/>
      <c r="V721" s="6"/>
      <c r="W721" s="7" t="str">
        <f t="shared" si="22"/>
        <v/>
      </c>
      <c r="X721" s="8" t="str">
        <f t="shared" si="23"/>
        <v/>
      </c>
      <c r="AG721" s="9"/>
      <c r="AH721" s="10"/>
    </row>
    <row r="722" spans="3:34" x14ac:dyDescent="0.35">
      <c r="C722" s="5"/>
      <c r="D722" s="5"/>
      <c r="T722" s="6"/>
      <c r="U722" s="6"/>
      <c r="V722" s="6"/>
      <c r="W722" s="7" t="str">
        <f t="shared" si="22"/>
        <v/>
      </c>
      <c r="X722" s="8" t="str">
        <f t="shared" si="23"/>
        <v/>
      </c>
      <c r="AG722" s="9"/>
      <c r="AH722" s="10"/>
    </row>
    <row r="723" spans="3:34" x14ac:dyDescent="0.35">
      <c r="C723" s="5"/>
      <c r="D723" s="5"/>
      <c r="T723" s="6"/>
      <c r="U723" s="6"/>
      <c r="V723" s="6"/>
      <c r="W723" s="7" t="str">
        <f t="shared" si="22"/>
        <v/>
      </c>
      <c r="X723" s="8" t="str">
        <f t="shared" si="23"/>
        <v/>
      </c>
      <c r="AG723" s="9"/>
      <c r="AH723" s="10"/>
    </row>
    <row r="724" spans="3:34" x14ac:dyDescent="0.35">
      <c r="C724" s="5"/>
      <c r="D724" s="5"/>
      <c r="T724" s="6"/>
      <c r="U724" s="6"/>
      <c r="V724" s="6"/>
      <c r="W724" s="7" t="str">
        <f t="shared" si="22"/>
        <v/>
      </c>
      <c r="X724" s="8" t="str">
        <f t="shared" si="23"/>
        <v/>
      </c>
      <c r="AG724" s="9"/>
      <c r="AH724" s="10"/>
    </row>
    <row r="725" spans="3:34" x14ac:dyDescent="0.35">
      <c r="C725" s="5"/>
      <c r="D725" s="5"/>
      <c r="T725" s="6"/>
      <c r="U725" s="6"/>
      <c r="V725" s="6"/>
      <c r="W725" s="7" t="str">
        <f t="shared" si="22"/>
        <v/>
      </c>
      <c r="X725" s="8" t="str">
        <f t="shared" si="23"/>
        <v/>
      </c>
      <c r="AG725" s="9"/>
      <c r="AH725" s="10"/>
    </row>
    <row r="726" spans="3:34" x14ac:dyDescent="0.35">
      <c r="C726" s="5"/>
      <c r="D726" s="5"/>
      <c r="T726" s="6"/>
      <c r="U726" s="6"/>
      <c r="V726" s="6"/>
      <c r="W726" s="7" t="str">
        <f t="shared" si="22"/>
        <v/>
      </c>
      <c r="X726" s="8" t="str">
        <f t="shared" si="23"/>
        <v/>
      </c>
      <c r="AG726" s="9"/>
      <c r="AH726" s="10"/>
    </row>
    <row r="727" spans="3:34" x14ac:dyDescent="0.35">
      <c r="C727" s="5"/>
      <c r="D727" s="5"/>
      <c r="T727" s="6"/>
      <c r="U727" s="6"/>
      <c r="V727" s="6"/>
      <c r="W727" s="7" t="str">
        <f t="shared" si="22"/>
        <v/>
      </c>
      <c r="X727" s="8" t="str">
        <f t="shared" si="23"/>
        <v/>
      </c>
      <c r="AG727" s="9"/>
      <c r="AH727" s="10"/>
    </row>
    <row r="728" spans="3:34" x14ac:dyDescent="0.35">
      <c r="C728" s="5"/>
      <c r="D728" s="5"/>
      <c r="T728" s="6"/>
      <c r="U728" s="6"/>
      <c r="V728" s="6"/>
      <c r="W728" s="7" t="str">
        <f t="shared" si="22"/>
        <v/>
      </c>
      <c r="X728" s="8" t="str">
        <f t="shared" si="23"/>
        <v/>
      </c>
      <c r="AG728" s="9"/>
      <c r="AH728" s="10"/>
    </row>
    <row r="729" spans="3:34" x14ac:dyDescent="0.35">
      <c r="C729" s="5"/>
      <c r="D729" s="5"/>
      <c r="T729" s="6"/>
      <c r="U729" s="6"/>
      <c r="V729" s="6"/>
      <c r="W729" s="7" t="str">
        <f t="shared" si="22"/>
        <v/>
      </c>
      <c r="X729" s="8" t="str">
        <f t="shared" si="23"/>
        <v/>
      </c>
      <c r="AG729" s="9"/>
      <c r="AH729" s="10"/>
    </row>
    <row r="730" spans="3:34" x14ac:dyDescent="0.35">
      <c r="C730" s="5"/>
      <c r="D730" s="5"/>
      <c r="T730" s="6"/>
      <c r="U730" s="6"/>
      <c r="V730" s="6"/>
      <c r="W730" s="7" t="str">
        <f t="shared" si="22"/>
        <v/>
      </c>
      <c r="X730" s="8" t="str">
        <f t="shared" si="23"/>
        <v/>
      </c>
      <c r="AG730" s="9"/>
      <c r="AH730" s="10"/>
    </row>
    <row r="731" spans="3:34" x14ac:dyDescent="0.35">
      <c r="C731" s="5"/>
      <c r="D731" s="5"/>
      <c r="T731" s="6"/>
      <c r="U731" s="6"/>
      <c r="V731" s="6"/>
      <c r="W731" s="7" t="str">
        <f t="shared" si="22"/>
        <v/>
      </c>
      <c r="X731" s="8" t="str">
        <f t="shared" si="23"/>
        <v/>
      </c>
      <c r="AG731" s="9"/>
      <c r="AH731" s="10"/>
    </row>
    <row r="732" spans="3:34" x14ac:dyDescent="0.35">
      <c r="C732" s="5"/>
      <c r="D732" s="5"/>
      <c r="T732" s="6"/>
      <c r="U732" s="6"/>
      <c r="V732" s="6"/>
      <c r="W732" s="7" t="str">
        <f t="shared" si="22"/>
        <v/>
      </c>
      <c r="X732" s="8" t="str">
        <f t="shared" si="23"/>
        <v/>
      </c>
      <c r="AG732" s="9"/>
      <c r="AH732" s="10"/>
    </row>
    <row r="733" spans="3:34" x14ac:dyDescent="0.35">
      <c r="C733" s="5"/>
      <c r="D733" s="5"/>
      <c r="T733" s="6"/>
      <c r="U733" s="6"/>
      <c r="V733" s="6"/>
      <c r="W733" s="7" t="str">
        <f t="shared" si="22"/>
        <v/>
      </c>
      <c r="X733" s="8" t="str">
        <f t="shared" si="23"/>
        <v/>
      </c>
      <c r="AG733" s="9"/>
      <c r="AH733" s="10"/>
    </row>
    <row r="734" spans="3:34" x14ac:dyDescent="0.35">
      <c r="C734" s="5"/>
      <c r="D734" s="5"/>
      <c r="T734" s="6"/>
      <c r="U734" s="6"/>
      <c r="V734" s="6"/>
      <c r="W734" s="7" t="str">
        <f t="shared" si="22"/>
        <v/>
      </c>
      <c r="X734" s="8" t="str">
        <f t="shared" si="23"/>
        <v/>
      </c>
      <c r="AG734" s="9"/>
      <c r="AH734" s="10"/>
    </row>
    <row r="735" spans="3:34" x14ac:dyDescent="0.35">
      <c r="C735" s="5"/>
      <c r="D735" s="5"/>
      <c r="T735" s="6"/>
      <c r="U735" s="6"/>
      <c r="V735" s="6"/>
      <c r="W735" s="7" t="str">
        <f t="shared" si="22"/>
        <v/>
      </c>
      <c r="X735" s="8" t="str">
        <f t="shared" si="23"/>
        <v/>
      </c>
      <c r="AG735" s="9"/>
      <c r="AH735" s="10"/>
    </row>
    <row r="736" spans="3:34" x14ac:dyDescent="0.35">
      <c r="C736" s="5"/>
      <c r="D736" s="5"/>
      <c r="T736" s="6"/>
      <c r="U736" s="6"/>
      <c r="V736" s="6"/>
      <c r="W736" s="7" t="str">
        <f t="shared" si="22"/>
        <v/>
      </c>
      <c r="X736" s="8" t="str">
        <f t="shared" si="23"/>
        <v/>
      </c>
      <c r="AG736" s="9"/>
      <c r="AH736" s="10"/>
    </row>
    <row r="737" spans="3:34" x14ac:dyDescent="0.35">
      <c r="C737" s="5"/>
      <c r="D737" s="5"/>
      <c r="T737" s="6"/>
      <c r="U737" s="6"/>
      <c r="V737" s="6"/>
      <c r="W737" s="7" t="str">
        <f t="shared" si="22"/>
        <v/>
      </c>
      <c r="X737" s="8" t="str">
        <f t="shared" si="23"/>
        <v/>
      </c>
      <c r="AG737" s="9"/>
      <c r="AH737" s="10"/>
    </row>
    <row r="738" spans="3:34" x14ac:dyDescent="0.35">
      <c r="C738" s="5"/>
      <c r="D738" s="5"/>
      <c r="T738" s="6"/>
      <c r="U738" s="6"/>
      <c r="V738" s="6"/>
      <c r="W738" s="7" t="str">
        <f t="shared" si="22"/>
        <v/>
      </c>
      <c r="X738" s="8" t="str">
        <f t="shared" si="23"/>
        <v/>
      </c>
      <c r="AG738" s="9"/>
      <c r="AH738" s="10"/>
    </row>
    <row r="739" spans="3:34" x14ac:dyDescent="0.35">
      <c r="C739" s="5"/>
      <c r="D739" s="5"/>
      <c r="T739" s="6"/>
      <c r="U739" s="6"/>
      <c r="V739" s="6"/>
      <c r="W739" s="7" t="str">
        <f t="shared" si="22"/>
        <v/>
      </c>
      <c r="X739" s="8" t="str">
        <f t="shared" si="23"/>
        <v/>
      </c>
      <c r="AG739" s="9"/>
      <c r="AH739" s="10"/>
    </row>
    <row r="740" spans="3:34" x14ac:dyDescent="0.35">
      <c r="C740" s="5"/>
      <c r="D740" s="5"/>
      <c r="T740" s="6"/>
      <c r="U740" s="6"/>
      <c r="V740" s="6"/>
      <c r="W740" s="7" t="str">
        <f t="shared" si="22"/>
        <v/>
      </c>
      <c r="X740" s="8" t="str">
        <f t="shared" si="23"/>
        <v/>
      </c>
      <c r="AG740" s="9"/>
      <c r="AH740" s="10"/>
    </row>
    <row r="741" spans="3:34" x14ac:dyDescent="0.35">
      <c r="C741" s="5"/>
      <c r="D741" s="5"/>
      <c r="T741" s="6"/>
      <c r="U741" s="6"/>
      <c r="V741" s="6"/>
      <c r="W741" s="7" t="str">
        <f t="shared" si="22"/>
        <v/>
      </c>
      <c r="X741" s="8" t="str">
        <f t="shared" si="23"/>
        <v/>
      </c>
      <c r="AG741" s="9"/>
      <c r="AH741" s="10"/>
    </row>
    <row r="742" spans="3:34" x14ac:dyDescent="0.35">
      <c r="C742" s="5"/>
      <c r="D742" s="5"/>
      <c r="T742" s="6"/>
      <c r="U742" s="6"/>
      <c r="V742" s="6"/>
      <c r="W742" s="7" t="str">
        <f t="shared" si="22"/>
        <v/>
      </c>
      <c r="X742" s="8" t="str">
        <f t="shared" si="23"/>
        <v/>
      </c>
      <c r="AG742" s="9"/>
      <c r="AH742" s="10"/>
    </row>
    <row r="743" spans="3:34" x14ac:dyDescent="0.35">
      <c r="C743" s="5"/>
      <c r="D743" s="5"/>
      <c r="T743" s="6"/>
      <c r="U743" s="6"/>
      <c r="V743" s="6"/>
      <c r="W743" s="7" t="str">
        <f t="shared" si="22"/>
        <v/>
      </c>
      <c r="X743" s="8" t="str">
        <f t="shared" si="23"/>
        <v/>
      </c>
      <c r="AG743" s="9"/>
      <c r="AH743" s="10"/>
    </row>
    <row r="744" spans="3:34" x14ac:dyDescent="0.35">
      <c r="C744" s="5"/>
      <c r="D744" s="5"/>
      <c r="T744" s="6"/>
      <c r="U744" s="6"/>
      <c r="V744" s="6"/>
      <c r="W744" s="7" t="str">
        <f t="shared" si="22"/>
        <v/>
      </c>
      <c r="X744" s="8" t="str">
        <f t="shared" si="23"/>
        <v/>
      </c>
      <c r="AG744" s="9"/>
      <c r="AH744" s="10"/>
    </row>
    <row r="745" spans="3:34" x14ac:dyDescent="0.35">
      <c r="C745" s="5"/>
      <c r="D745" s="5"/>
      <c r="T745" s="6"/>
      <c r="U745" s="6"/>
      <c r="V745" s="6"/>
      <c r="W745" s="7" t="str">
        <f t="shared" si="22"/>
        <v/>
      </c>
      <c r="X745" s="8" t="str">
        <f t="shared" si="23"/>
        <v/>
      </c>
      <c r="AG745" s="9"/>
      <c r="AH745" s="10"/>
    </row>
    <row r="746" spans="3:34" x14ac:dyDescent="0.35">
      <c r="C746" s="5"/>
      <c r="D746" s="5"/>
      <c r="T746" s="6"/>
      <c r="U746" s="6"/>
      <c r="V746" s="6"/>
      <c r="W746" s="7" t="str">
        <f t="shared" si="22"/>
        <v/>
      </c>
      <c r="X746" s="8" t="str">
        <f t="shared" si="23"/>
        <v/>
      </c>
      <c r="AG746" s="9"/>
      <c r="AH746" s="10"/>
    </row>
    <row r="747" spans="3:34" x14ac:dyDescent="0.35">
      <c r="C747" s="5"/>
      <c r="D747" s="5"/>
      <c r="T747" s="6"/>
      <c r="U747" s="6"/>
      <c r="V747" s="6"/>
      <c r="W747" s="7" t="str">
        <f t="shared" si="22"/>
        <v/>
      </c>
      <c r="X747" s="8" t="str">
        <f t="shared" si="23"/>
        <v/>
      </c>
      <c r="AG747" s="9"/>
      <c r="AH747" s="10"/>
    </row>
    <row r="748" spans="3:34" x14ac:dyDescent="0.35">
      <c r="C748" s="5"/>
      <c r="D748" s="5"/>
      <c r="T748" s="6"/>
      <c r="U748" s="6"/>
      <c r="V748" s="6"/>
      <c r="W748" s="7" t="str">
        <f t="shared" si="22"/>
        <v/>
      </c>
      <c r="X748" s="8" t="str">
        <f t="shared" si="23"/>
        <v/>
      </c>
      <c r="AG748" s="9"/>
      <c r="AH748" s="10"/>
    </row>
    <row r="749" spans="3:34" x14ac:dyDescent="0.35">
      <c r="C749" s="5"/>
      <c r="D749" s="5"/>
      <c r="T749" s="6"/>
      <c r="U749" s="6"/>
      <c r="V749" s="6"/>
      <c r="W749" s="7" t="str">
        <f t="shared" si="22"/>
        <v/>
      </c>
      <c r="X749" s="8" t="str">
        <f t="shared" si="23"/>
        <v/>
      </c>
      <c r="AG749" s="9"/>
      <c r="AH749" s="10"/>
    </row>
    <row r="750" spans="3:34" x14ac:dyDescent="0.35">
      <c r="C750" s="5"/>
      <c r="D750" s="5"/>
      <c r="T750" s="6"/>
      <c r="U750" s="6"/>
      <c r="V750" s="6"/>
      <c r="W750" s="7" t="str">
        <f t="shared" si="22"/>
        <v/>
      </c>
      <c r="X750" s="8" t="str">
        <f t="shared" si="23"/>
        <v/>
      </c>
      <c r="AG750" s="9"/>
      <c r="AH750" s="10"/>
    </row>
    <row r="751" spans="3:34" x14ac:dyDescent="0.35">
      <c r="C751" s="5"/>
      <c r="D751" s="5"/>
      <c r="T751" s="6"/>
      <c r="U751" s="6"/>
      <c r="V751" s="6"/>
      <c r="W751" s="7" t="str">
        <f t="shared" si="22"/>
        <v/>
      </c>
      <c r="X751" s="8" t="str">
        <f t="shared" si="23"/>
        <v/>
      </c>
      <c r="AG751" s="9"/>
      <c r="AH751" s="10"/>
    </row>
    <row r="752" spans="3:34" x14ac:dyDescent="0.35">
      <c r="C752" s="5"/>
      <c r="D752" s="5"/>
      <c r="T752" s="6"/>
      <c r="U752" s="6"/>
      <c r="V752" s="6"/>
      <c r="W752" s="7" t="str">
        <f t="shared" si="22"/>
        <v/>
      </c>
      <c r="X752" s="8" t="str">
        <f t="shared" si="23"/>
        <v/>
      </c>
      <c r="AG752" s="9"/>
      <c r="AH752" s="10"/>
    </row>
    <row r="753" spans="3:34" x14ac:dyDescent="0.35">
      <c r="C753" s="5"/>
      <c r="D753" s="5"/>
      <c r="T753" s="6"/>
      <c r="U753" s="6"/>
      <c r="V753" s="6"/>
      <c r="W753" s="7" t="str">
        <f t="shared" si="22"/>
        <v/>
      </c>
      <c r="X753" s="8" t="str">
        <f t="shared" si="23"/>
        <v/>
      </c>
      <c r="AG753" s="9"/>
      <c r="AH753" s="10"/>
    </row>
    <row r="754" spans="3:34" x14ac:dyDescent="0.35">
      <c r="C754" s="5"/>
      <c r="D754" s="5"/>
      <c r="T754" s="6"/>
      <c r="U754" s="6"/>
      <c r="V754" s="6"/>
      <c r="W754" s="7" t="str">
        <f t="shared" si="22"/>
        <v/>
      </c>
      <c r="X754" s="8" t="str">
        <f t="shared" si="23"/>
        <v/>
      </c>
      <c r="AG754" s="9"/>
      <c r="AH754" s="10"/>
    </row>
    <row r="755" spans="3:34" x14ac:dyDescent="0.35">
      <c r="C755" s="5"/>
      <c r="D755" s="5"/>
      <c r="T755" s="6"/>
      <c r="U755" s="6"/>
      <c r="V755" s="6"/>
      <c r="W755" s="7" t="str">
        <f t="shared" si="22"/>
        <v/>
      </c>
      <c r="X755" s="8" t="str">
        <f t="shared" si="23"/>
        <v/>
      </c>
      <c r="AG755" s="9"/>
      <c r="AH755" s="10"/>
    </row>
    <row r="756" spans="3:34" x14ac:dyDescent="0.35">
      <c r="C756" s="5"/>
      <c r="D756" s="5"/>
      <c r="T756" s="6"/>
      <c r="U756" s="6"/>
      <c r="V756" s="6"/>
      <c r="W756" s="7" t="str">
        <f t="shared" si="22"/>
        <v/>
      </c>
      <c r="X756" s="8" t="str">
        <f t="shared" si="23"/>
        <v/>
      </c>
      <c r="AG756" s="9"/>
      <c r="AH756" s="10"/>
    </row>
    <row r="757" spans="3:34" x14ac:dyDescent="0.35">
      <c r="C757" s="5"/>
      <c r="D757" s="5"/>
      <c r="T757" s="6"/>
      <c r="U757" s="6"/>
      <c r="V757" s="6"/>
      <c r="W757" s="7" t="str">
        <f t="shared" si="22"/>
        <v/>
      </c>
      <c r="X757" s="8" t="str">
        <f t="shared" si="23"/>
        <v/>
      </c>
      <c r="AG757" s="9"/>
      <c r="AH757" s="10"/>
    </row>
    <row r="758" spans="3:34" x14ac:dyDescent="0.35">
      <c r="C758" s="5"/>
      <c r="D758" s="5"/>
      <c r="T758" s="6"/>
      <c r="U758" s="6"/>
      <c r="V758" s="6"/>
      <c r="W758" s="7" t="str">
        <f t="shared" si="22"/>
        <v/>
      </c>
      <c r="X758" s="8" t="str">
        <f t="shared" si="23"/>
        <v/>
      </c>
      <c r="AG758" s="9"/>
      <c r="AH758" s="10"/>
    </row>
    <row r="759" spans="3:34" x14ac:dyDescent="0.35">
      <c r="C759" s="5"/>
      <c r="D759" s="5"/>
      <c r="T759" s="6"/>
      <c r="U759" s="6"/>
      <c r="V759" s="6"/>
      <c r="W759" s="7" t="str">
        <f t="shared" si="22"/>
        <v/>
      </c>
      <c r="X759" s="8" t="str">
        <f t="shared" si="23"/>
        <v/>
      </c>
      <c r="AG759" s="9"/>
      <c r="AH759" s="10"/>
    </row>
    <row r="760" spans="3:34" x14ac:dyDescent="0.35">
      <c r="C760" s="5"/>
      <c r="D760" s="5"/>
      <c r="T760" s="6"/>
      <c r="U760" s="6"/>
      <c r="V760" s="6"/>
      <c r="W760" s="7" t="str">
        <f t="shared" si="22"/>
        <v/>
      </c>
      <c r="X760" s="8" t="str">
        <f t="shared" si="23"/>
        <v/>
      </c>
      <c r="AG760" s="9"/>
      <c r="AH760" s="10"/>
    </row>
    <row r="761" spans="3:34" x14ac:dyDescent="0.35">
      <c r="C761" s="5"/>
      <c r="D761" s="5"/>
      <c r="T761" s="6"/>
      <c r="U761" s="6"/>
      <c r="V761" s="6"/>
      <c r="W761" s="7" t="str">
        <f t="shared" si="22"/>
        <v/>
      </c>
      <c r="X761" s="8" t="str">
        <f t="shared" si="23"/>
        <v/>
      </c>
      <c r="AG761" s="9"/>
      <c r="AH761" s="10"/>
    </row>
    <row r="762" spans="3:34" x14ac:dyDescent="0.35">
      <c r="C762" s="5"/>
      <c r="D762" s="5"/>
      <c r="T762" s="6"/>
      <c r="U762" s="6"/>
      <c r="V762" s="6"/>
      <c r="W762" s="7" t="str">
        <f t="shared" si="22"/>
        <v/>
      </c>
      <c r="X762" s="8" t="str">
        <f t="shared" si="23"/>
        <v/>
      </c>
      <c r="AG762" s="9"/>
      <c r="AH762" s="10"/>
    </row>
    <row r="763" spans="3:34" x14ac:dyDescent="0.35">
      <c r="C763" s="5"/>
      <c r="D763" s="5"/>
      <c r="T763" s="6"/>
      <c r="U763" s="6"/>
      <c r="V763" s="6"/>
      <c r="W763" s="7" t="str">
        <f t="shared" si="22"/>
        <v/>
      </c>
      <c r="X763" s="8" t="str">
        <f t="shared" si="23"/>
        <v/>
      </c>
      <c r="AG763" s="9"/>
      <c r="AH763" s="10"/>
    </row>
    <row r="764" spans="3:34" x14ac:dyDescent="0.35">
      <c r="C764" s="5"/>
      <c r="D764" s="5"/>
      <c r="T764" s="6"/>
      <c r="U764" s="6"/>
      <c r="V764" s="6"/>
      <c r="W764" s="7" t="str">
        <f t="shared" si="22"/>
        <v/>
      </c>
      <c r="X764" s="8" t="str">
        <f t="shared" si="23"/>
        <v/>
      </c>
      <c r="AG764" s="9"/>
      <c r="AH764" s="10"/>
    </row>
    <row r="765" spans="3:34" x14ac:dyDescent="0.35">
      <c r="C765" s="5"/>
      <c r="D765" s="5"/>
      <c r="T765" s="6"/>
      <c r="U765" s="6"/>
      <c r="V765" s="6"/>
      <c r="W765" s="7" t="str">
        <f t="shared" si="22"/>
        <v/>
      </c>
      <c r="X765" s="8" t="str">
        <f t="shared" si="23"/>
        <v/>
      </c>
      <c r="AG765" s="9"/>
      <c r="AH765" s="10"/>
    </row>
    <row r="766" spans="3:34" x14ac:dyDescent="0.35">
      <c r="C766" s="5"/>
      <c r="D766" s="5"/>
      <c r="T766" s="6"/>
      <c r="U766" s="6"/>
      <c r="V766" s="6"/>
      <c r="W766" s="7" t="str">
        <f t="shared" si="22"/>
        <v/>
      </c>
      <c r="X766" s="8" t="str">
        <f t="shared" si="23"/>
        <v/>
      </c>
      <c r="AG766" s="9"/>
      <c r="AH766" s="10"/>
    </row>
    <row r="767" spans="3:34" x14ac:dyDescent="0.35">
      <c r="C767" s="5"/>
      <c r="D767" s="5"/>
      <c r="T767" s="6"/>
      <c r="U767" s="6"/>
      <c r="V767" s="6"/>
      <c r="W767" s="7" t="str">
        <f t="shared" si="22"/>
        <v/>
      </c>
      <c r="X767" s="8" t="str">
        <f t="shared" si="23"/>
        <v/>
      </c>
      <c r="AG767" s="9"/>
      <c r="AH767" s="10"/>
    </row>
    <row r="768" spans="3:34" x14ac:dyDescent="0.35">
      <c r="C768" s="5"/>
      <c r="D768" s="5"/>
      <c r="T768" s="6"/>
      <c r="U768" s="6"/>
      <c r="V768" s="6"/>
      <c r="W768" s="7" t="str">
        <f t="shared" si="22"/>
        <v/>
      </c>
      <c r="X768" s="8" t="str">
        <f t="shared" si="23"/>
        <v/>
      </c>
      <c r="AG768" s="9"/>
      <c r="AH768" s="10"/>
    </row>
    <row r="769" spans="3:34" x14ac:dyDescent="0.35">
      <c r="C769" s="5"/>
      <c r="D769" s="5"/>
      <c r="T769" s="6"/>
      <c r="U769" s="6"/>
      <c r="V769" s="6"/>
      <c r="W769" s="7" t="str">
        <f t="shared" si="22"/>
        <v/>
      </c>
      <c r="X769" s="8" t="str">
        <f t="shared" si="23"/>
        <v/>
      </c>
      <c r="AG769" s="9"/>
      <c r="AH769" s="10"/>
    </row>
    <row r="770" spans="3:34" x14ac:dyDescent="0.35">
      <c r="C770" s="5"/>
      <c r="D770" s="5"/>
      <c r="T770" s="6"/>
      <c r="U770" s="6"/>
      <c r="V770" s="6"/>
      <c r="W770" s="7" t="str">
        <f t="shared" ref="W770:W833" si="24">IF($U770&gt;0,$U770-$V770,"")</f>
        <v/>
      </c>
      <c r="X770" s="8" t="str">
        <f t="shared" ref="X770:X833" si="25">IF($U770&gt;0,($U770-$V770)/$U770,"")</f>
        <v/>
      </c>
      <c r="AG770" s="9"/>
      <c r="AH770" s="10"/>
    </row>
    <row r="771" spans="3:34" x14ac:dyDescent="0.35">
      <c r="C771" s="5"/>
      <c r="D771" s="5"/>
      <c r="T771" s="6"/>
      <c r="U771" s="6"/>
      <c r="V771" s="6"/>
      <c r="W771" s="7" t="str">
        <f t="shared" si="24"/>
        <v/>
      </c>
      <c r="X771" s="8" t="str">
        <f t="shared" si="25"/>
        <v/>
      </c>
      <c r="AG771" s="9"/>
      <c r="AH771" s="10"/>
    </row>
    <row r="772" spans="3:34" x14ac:dyDescent="0.35">
      <c r="C772" s="5"/>
      <c r="D772" s="5"/>
      <c r="T772" s="6"/>
      <c r="U772" s="6"/>
      <c r="V772" s="6"/>
      <c r="W772" s="7" t="str">
        <f t="shared" si="24"/>
        <v/>
      </c>
      <c r="X772" s="8" t="str">
        <f t="shared" si="25"/>
        <v/>
      </c>
      <c r="AG772" s="9"/>
      <c r="AH772" s="10"/>
    </row>
    <row r="773" spans="3:34" x14ac:dyDescent="0.35">
      <c r="C773" s="5"/>
      <c r="D773" s="5"/>
      <c r="T773" s="6"/>
      <c r="U773" s="6"/>
      <c r="V773" s="6"/>
      <c r="W773" s="7" t="str">
        <f t="shared" si="24"/>
        <v/>
      </c>
      <c r="X773" s="8" t="str">
        <f t="shared" si="25"/>
        <v/>
      </c>
      <c r="AG773" s="9"/>
      <c r="AH773" s="10"/>
    </row>
    <row r="774" spans="3:34" x14ac:dyDescent="0.35">
      <c r="C774" s="5"/>
      <c r="D774" s="5"/>
      <c r="T774" s="6"/>
      <c r="U774" s="6"/>
      <c r="V774" s="6"/>
      <c r="W774" s="7" t="str">
        <f t="shared" si="24"/>
        <v/>
      </c>
      <c r="X774" s="8" t="str">
        <f t="shared" si="25"/>
        <v/>
      </c>
      <c r="AG774" s="9"/>
      <c r="AH774" s="10"/>
    </row>
    <row r="775" spans="3:34" x14ac:dyDescent="0.35">
      <c r="C775" s="5"/>
      <c r="D775" s="5"/>
      <c r="T775" s="6"/>
      <c r="U775" s="6"/>
      <c r="V775" s="6"/>
      <c r="W775" s="7" t="str">
        <f t="shared" si="24"/>
        <v/>
      </c>
      <c r="X775" s="8" t="str">
        <f t="shared" si="25"/>
        <v/>
      </c>
      <c r="AG775" s="9"/>
      <c r="AH775" s="10"/>
    </row>
    <row r="776" spans="3:34" x14ac:dyDescent="0.35">
      <c r="C776" s="5"/>
      <c r="D776" s="5"/>
      <c r="T776" s="6"/>
      <c r="U776" s="6"/>
      <c r="V776" s="6"/>
      <c r="W776" s="7" t="str">
        <f t="shared" si="24"/>
        <v/>
      </c>
      <c r="X776" s="8" t="str">
        <f t="shared" si="25"/>
        <v/>
      </c>
      <c r="AG776" s="9"/>
      <c r="AH776" s="10"/>
    </row>
    <row r="777" spans="3:34" x14ac:dyDescent="0.35">
      <c r="C777" s="5"/>
      <c r="D777" s="5"/>
      <c r="T777" s="6"/>
      <c r="U777" s="6"/>
      <c r="V777" s="6"/>
      <c r="W777" s="7" t="str">
        <f t="shared" si="24"/>
        <v/>
      </c>
      <c r="X777" s="8" t="str">
        <f t="shared" si="25"/>
        <v/>
      </c>
      <c r="AG777" s="9"/>
      <c r="AH777" s="10"/>
    </row>
    <row r="778" spans="3:34" x14ac:dyDescent="0.35">
      <c r="C778" s="5"/>
      <c r="D778" s="5"/>
      <c r="T778" s="6"/>
      <c r="U778" s="6"/>
      <c r="V778" s="6"/>
      <c r="W778" s="7" t="str">
        <f t="shared" si="24"/>
        <v/>
      </c>
      <c r="X778" s="8" t="str">
        <f t="shared" si="25"/>
        <v/>
      </c>
      <c r="AG778" s="9"/>
      <c r="AH778" s="10"/>
    </row>
    <row r="779" spans="3:34" x14ac:dyDescent="0.35">
      <c r="C779" s="5"/>
      <c r="D779" s="5"/>
      <c r="T779" s="6"/>
      <c r="U779" s="6"/>
      <c r="V779" s="6"/>
      <c r="W779" s="7" t="str">
        <f t="shared" si="24"/>
        <v/>
      </c>
      <c r="X779" s="8" t="str">
        <f t="shared" si="25"/>
        <v/>
      </c>
      <c r="AG779" s="9"/>
      <c r="AH779" s="10"/>
    </row>
    <row r="780" spans="3:34" x14ac:dyDescent="0.35">
      <c r="C780" s="5"/>
      <c r="D780" s="5"/>
      <c r="T780" s="6"/>
      <c r="U780" s="6"/>
      <c r="V780" s="6"/>
      <c r="W780" s="7" t="str">
        <f t="shared" si="24"/>
        <v/>
      </c>
      <c r="X780" s="8" t="str">
        <f t="shared" si="25"/>
        <v/>
      </c>
      <c r="AG780" s="9"/>
      <c r="AH780" s="10"/>
    </row>
    <row r="781" spans="3:34" x14ac:dyDescent="0.35">
      <c r="C781" s="5"/>
      <c r="D781" s="5"/>
      <c r="T781" s="6"/>
      <c r="U781" s="6"/>
      <c r="V781" s="6"/>
      <c r="W781" s="7" t="str">
        <f t="shared" si="24"/>
        <v/>
      </c>
      <c r="X781" s="8" t="str">
        <f t="shared" si="25"/>
        <v/>
      </c>
      <c r="AG781" s="9"/>
      <c r="AH781" s="10"/>
    </row>
    <row r="782" spans="3:34" x14ac:dyDescent="0.35">
      <c r="C782" s="5"/>
      <c r="D782" s="5"/>
      <c r="T782" s="6"/>
      <c r="U782" s="6"/>
      <c r="V782" s="6"/>
      <c r="W782" s="7" t="str">
        <f t="shared" si="24"/>
        <v/>
      </c>
      <c r="X782" s="8" t="str">
        <f t="shared" si="25"/>
        <v/>
      </c>
      <c r="AG782" s="9"/>
      <c r="AH782" s="10"/>
    </row>
    <row r="783" spans="3:34" x14ac:dyDescent="0.35">
      <c r="C783" s="5"/>
      <c r="D783" s="5"/>
      <c r="T783" s="6"/>
      <c r="U783" s="6"/>
      <c r="V783" s="6"/>
      <c r="W783" s="7" t="str">
        <f t="shared" si="24"/>
        <v/>
      </c>
      <c r="X783" s="8" t="str">
        <f t="shared" si="25"/>
        <v/>
      </c>
      <c r="AG783" s="9"/>
      <c r="AH783" s="10"/>
    </row>
    <row r="784" spans="3:34" x14ac:dyDescent="0.35">
      <c r="C784" s="5"/>
      <c r="D784" s="5"/>
      <c r="T784" s="6"/>
      <c r="U784" s="6"/>
      <c r="V784" s="6"/>
      <c r="W784" s="7" t="str">
        <f t="shared" si="24"/>
        <v/>
      </c>
      <c r="X784" s="8" t="str">
        <f t="shared" si="25"/>
        <v/>
      </c>
      <c r="AG784" s="9"/>
      <c r="AH784" s="10"/>
    </row>
    <row r="785" spans="3:34" x14ac:dyDescent="0.35">
      <c r="C785" s="5"/>
      <c r="D785" s="5"/>
      <c r="T785" s="6"/>
      <c r="U785" s="6"/>
      <c r="V785" s="6"/>
      <c r="W785" s="7" t="str">
        <f t="shared" si="24"/>
        <v/>
      </c>
      <c r="X785" s="8" t="str">
        <f t="shared" si="25"/>
        <v/>
      </c>
      <c r="AG785" s="9"/>
      <c r="AH785" s="10"/>
    </row>
    <row r="786" spans="3:34" x14ac:dyDescent="0.35">
      <c r="C786" s="5"/>
      <c r="D786" s="5"/>
      <c r="T786" s="6"/>
      <c r="U786" s="6"/>
      <c r="V786" s="6"/>
      <c r="W786" s="7" t="str">
        <f t="shared" si="24"/>
        <v/>
      </c>
      <c r="X786" s="8" t="str">
        <f t="shared" si="25"/>
        <v/>
      </c>
      <c r="AG786" s="9"/>
      <c r="AH786" s="10"/>
    </row>
    <row r="787" spans="3:34" x14ac:dyDescent="0.35">
      <c r="C787" s="5"/>
      <c r="D787" s="5"/>
      <c r="T787" s="6"/>
      <c r="U787" s="6"/>
      <c r="V787" s="6"/>
      <c r="W787" s="7" t="str">
        <f t="shared" si="24"/>
        <v/>
      </c>
      <c r="X787" s="8" t="str">
        <f t="shared" si="25"/>
        <v/>
      </c>
      <c r="AG787" s="9"/>
      <c r="AH787" s="10"/>
    </row>
    <row r="788" spans="3:34" x14ac:dyDescent="0.35">
      <c r="C788" s="5"/>
      <c r="D788" s="5"/>
      <c r="T788" s="6"/>
      <c r="U788" s="6"/>
      <c r="V788" s="6"/>
      <c r="W788" s="7" t="str">
        <f t="shared" si="24"/>
        <v/>
      </c>
      <c r="X788" s="8" t="str">
        <f t="shared" si="25"/>
        <v/>
      </c>
      <c r="AG788" s="9"/>
      <c r="AH788" s="10"/>
    </row>
    <row r="789" spans="3:34" x14ac:dyDescent="0.35">
      <c r="C789" s="5"/>
      <c r="D789" s="5"/>
      <c r="T789" s="6"/>
      <c r="U789" s="6"/>
      <c r="V789" s="6"/>
      <c r="W789" s="7" t="str">
        <f t="shared" si="24"/>
        <v/>
      </c>
      <c r="X789" s="8" t="str">
        <f t="shared" si="25"/>
        <v/>
      </c>
      <c r="AG789" s="9"/>
      <c r="AH789" s="10"/>
    </row>
    <row r="790" spans="3:34" x14ac:dyDescent="0.35">
      <c r="C790" s="5"/>
      <c r="D790" s="5"/>
      <c r="T790" s="6"/>
      <c r="U790" s="6"/>
      <c r="V790" s="6"/>
      <c r="W790" s="7" t="str">
        <f t="shared" si="24"/>
        <v/>
      </c>
      <c r="X790" s="8" t="str">
        <f t="shared" si="25"/>
        <v/>
      </c>
      <c r="AG790" s="9"/>
      <c r="AH790" s="10"/>
    </row>
    <row r="791" spans="3:34" x14ac:dyDescent="0.35">
      <c r="C791" s="5"/>
      <c r="D791" s="5"/>
      <c r="T791" s="6"/>
      <c r="U791" s="6"/>
      <c r="V791" s="6"/>
      <c r="W791" s="7" t="str">
        <f t="shared" si="24"/>
        <v/>
      </c>
      <c r="X791" s="8" t="str">
        <f t="shared" si="25"/>
        <v/>
      </c>
      <c r="AG791" s="9"/>
      <c r="AH791" s="10"/>
    </row>
    <row r="792" spans="3:34" x14ac:dyDescent="0.35">
      <c r="C792" s="5"/>
      <c r="D792" s="5"/>
      <c r="T792" s="6"/>
      <c r="U792" s="6"/>
      <c r="V792" s="6"/>
      <c r="W792" s="7" t="str">
        <f t="shared" si="24"/>
        <v/>
      </c>
      <c r="X792" s="8" t="str">
        <f t="shared" si="25"/>
        <v/>
      </c>
      <c r="AG792" s="9"/>
      <c r="AH792" s="10"/>
    </row>
    <row r="793" spans="3:34" x14ac:dyDescent="0.35">
      <c r="C793" s="5"/>
      <c r="D793" s="5"/>
      <c r="T793" s="6"/>
      <c r="U793" s="6"/>
      <c r="V793" s="6"/>
      <c r="W793" s="7" t="str">
        <f t="shared" si="24"/>
        <v/>
      </c>
      <c r="X793" s="8" t="str">
        <f t="shared" si="25"/>
        <v/>
      </c>
      <c r="AG793" s="9"/>
      <c r="AH793" s="10"/>
    </row>
    <row r="794" spans="3:34" x14ac:dyDescent="0.35">
      <c r="C794" s="5"/>
      <c r="D794" s="5"/>
      <c r="T794" s="6"/>
      <c r="U794" s="6"/>
      <c r="V794" s="6"/>
      <c r="W794" s="7" t="str">
        <f t="shared" si="24"/>
        <v/>
      </c>
      <c r="X794" s="8" t="str">
        <f t="shared" si="25"/>
        <v/>
      </c>
      <c r="AG794" s="9"/>
      <c r="AH794" s="10"/>
    </row>
    <row r="795" spans="3:34" x14ac:dyDescent="0.35">
      <c r="C795" s="5"/>
      <c r="D795" s="5"/>
      <c r="T795" s="6"/>
      <c r="U795" s="6"/>
      <c r="V795" s="6"/>
      <c r="W795" s="7" t="str">
        <f t="shared" si="24"/>
        <v/>
      </c>
      <c r="X795" s="8" t="str">
        <f t="shared" si="25"/>
        <v/>
      </c>
      <c r="AG795" s="9"/>
      <c r="AH795" s="10"/>
    </row>
    <row r="796" spans="3:34" x14ac:dyDescent="0.35">
      <c r="C796" s="5"/>
      <c r="D796" s="5"/>
      <c r="T796" s="6"/>
      <c r="U796" s="6"/>
      <c r="V796" s="6"/>
      <c r="W796" s="7" t="str">
        <f t="shared" si="24"/>
        <v/>
      </c>
      <c r="X796" s="8" t="str">
        <f t="shared" si="25"/>
        <v/>
      </c>
      <c r="AG796" s="9"/>
      <c r="AH796" s="10"/>
    </row>
    <row r="797" spans="3:34" x14ac:dyDescent="0.35">
      <c r="C797" s="5"/>
      <c r="D797" s="5"/>
      <c r="T797" s="6"/>
      <c r="U797" s="6"/>
      <c r="V797" s="6"/>
      <c r="W797" s="7" t="str">
        <f t="shared" si="24"/>
        <v/>
      </c>
      <c r="X797" s="8" t="str">
        <f t="shared" si="25"/>
        <v/>
      </c>
      <c r="AG797" s="9"/>
      <c r="AH797" s="10"/>
    </row>
    <row r="798" spans="3:34" x14ac:dyDescent="0.35">
      <c r="C798" s="5"/>
      <c r="D798" s="5"/>
      <c r="T798" s="6"/>
      <c r="U798" s="6"/>
      <c r="V798" s="6"/>
      <c r="W798" s="7" t="str">
        <f t="shared" si="24"/>
        <v/>
      </c>
      <c r="X798" s="8" t="str">
        <f t="shared" si="25"/>
        <v/>
      </c>
      <c r="AG798" s="9"/>
      <c r="AH798" s="10"/>
    </row>
    <row r="799" spans="3:34" x14ac:dyDescent="0.35">
      <c r="C799" s="5"/>
      <c r="D799" s="5"/>
      <c r="T799" s="6"/>
      <c r="U799" s="6"/>
      <c r="V799" s="6"/>
      <c r="W799" s="7" t="str">
        <f t="shared" si="24"/>
        <v/>
      </c>
      <c r="X799" s="8" t="str">
        <f t="shared" si="25"/>
        <v/>
      </c>
      <c r="AG799" s="9"/>
      <c r="AH799" s="10"/>
    </row>
    <row r="800" spans="3:34" x14ac:dyDescent="0.35">
      <c r="C800" s="5"/>
      <c r="D800" s="5"/>
      <c r="T800" s="6"/>
      <c r="U800" s="6"/>
      <c r="V800" s="6"/>
      <c r="W800" s="7" t="str">
        <f t="shared" si="24"/>
        <v/>
      </c>
      <c r="X800" s="8" t="str">
        <f t="shared" si="25"/>
        <v/>
      </c>
      <c r="AG800" s="9"/>
      <c r="AH800" s="10"/>
    </row>
    <row r="801" spans="3:34" x14ac:dyDescent="0.35">
      <c r="C801" s="5"/>
      <c r="D801" s="5"/>
      <c r="T801" s="6"/>
      <c r="U801" s="6"/>
      <c r="V801" s="6"/>
      <c r="W801" s="7" t="str">
        <f t="shared" si="24"/>
        <v/>
      </c>
      <c r="X801" s="8" t="str">
        <f t="shared" si="25"/>
        <v/>
      </c>
      <c r="AG801" s="9"/>
      <c r="AH801" s="10"/>
    </row>
    <row r="802" spans="3:34" x14ac:dyDescent="0.35">
      <c r="C802" s="5"/>
      <c r="D802" s="5"/>
      <c r="T802" s="6"/>
      <c r="U802" s="6"/>
      <c r="V802" s="6"/>
      <c r="W802" s="7" t="str">
        <f t="shared" si="24"/>
        <v/>
      </c>
      <c r="X802" s="8" t="str">
        <f t="shared" si="25"/>
        <v/>
      </c>
      <c r="AG802" s="9"/>
      <c r="AH802" s="10"/>
    </row>
    <row r="803" spans="3:34" x14ac:dyDescent="0.35">
      <c r="C803" s="5"/>
      <c r="D803" s="5"/>
      <c r="T803" s="6"/>
      <c r="U803" s="6"/>
      <c r="V803" s="6"/>
      <c r="W803" s="7" t="str">
        <f t="shared" si="24"/>
        <v/>
      </c>
      <c r="X803" s="8" t="str">
        <f t="shared" si="25"/>
        <v/>
      </c>
      <c r="AG803" s="9"/>
      <c r="AH803" s="10"/>
    </row>
    <row r="804" spans="3:34" x14ac:dyDescent="0.35">
      <c r="C804" s="5"/>
      <c r="D804" s="5"/>
      <c r="T804" s="6"/>
      <c r="U804" s="6"/>
      <c r="V804" s="6"/>
      <c r="W804" s="7" t="str">
        <f t="shared" si="24"/>
        <v/>
      </c>
      <c r="X804" s="8" t="str">
        <f t="shared" si="25"/>
        <v/>
      </c>
      <c r="AG804" s="9"/>
      <c r="AH804" s="10"/>
    </row>
    <row r="805" spans="3:34" x14ac:dyDescent="0.35">
      <c r="C805" s="5"/>
      <c r="D805" s="5"/>
      <c r="T805" s="6"/>
      <c r="U805" s="6"/>
      <c r="V805" s="6"/>
      <c r="W805" s="7" t="str">
        <f t="shared" si="24"/>
        <v/>
      </c>
      <c r="X805" s="8" t="str">
        <f t="shared" si="25"/>
        <v/>
      </c>
      <c r="AG805" s="9"/>
      <c r="AH805" s="10"/>
    </row>
    <row r="806" spans="3:34" x14ac:dyDescent="0.35">
      <c r="C806" s="5"/>
      <c r="D806" s="5"/>
      <c r="T806" s="6"/>
      <c r="U806" s="6"/>
      <c r="V806" s="6"/>
      <c r="W806" s="7" t="str">
        <f t="shared" si="24"/>
        <v/>
      </c>
      <c r="X806" s="8" t="str">
        <f t="shared" si="25"/>
        <v/>
      </c>
      <c r="AG806" s="9"/>
      <c r="AH806" s="10"/>
    </row>
    <row r="807" spans="3:34" x14ac:dyDescent="0.35">
      <c r="C807" s="5"/>
      <c r="D807" s="5"/>
      <c r="T807" s="6"/>
      <c r="U807" s="6"/>
      <c r="V807" s="6"/>
      <c r="W807" s="7" t="str">
        <f t="shared" si="24"/>
        <v/>
      </c>
      <c r="X807" s="8" t="str">
        <f t="shared" si="25"/>
        <v/>
      </c>
      <c r="AG807" s="9"/>
      <c r="AH807" s="10"/>
    </row>
    <row r="808" spans="3:34" x14ac:dyDescent="0.35">
      <c r="C808" s="5"/>
      <c r="D808" s="5"/>
      <c r="T808" s="6"/>
      <c r="U808" s="6"/>
      <c r="V808" s="6"/>
      <c r="W808" s="7" t="str">
        <f t="shared" si="24"/>
        <v/>
      </c>
      <c r="X808" s="8" t="str">
        <f t="shared" si="25"/>
        <v/>
      </c>
      <c r="AG808" s="9"/>
      <c r="AH808" s="10"/>
    </row>
    <row r="809" spans="3:34" x14ac:dyDescent="0.35">
      <c r="C809" s="5"/>
      <c r="D809" s="5"/>
      <c r="T809" s="6"/>
      <c r="U809" s="6"/>
      <c r="V809" s="6"/>
      <c r="W809" s="7" t="str">
        <f t="shared" si="24"/>
        <v/>
      </c>
      <c r="X809" s="8" t="str">
        <f t="shared" si="25"/>
        <v/>
      </c>
      <c r="AG809" s="9"/>
      <c r="AH809" s="10"/>
    </row>
    <row r="810" spans="3:34" x14ac:dyDescent="0.35">
      <c r="C810" s="5"/>
      <c r="D810" s="5"/>
      <c r="T810" s="6"/>
      <c r="U810" s="6"/>
      <c r="V810" s="6"/>
      <c r="W810" s="7" t="str">
        <f t="shared" si="24"/>
        <v/>
      </c>
      <c r="X810" s="8" t="str">
        <f t="shared" si="25"/>
        <v/>
      </c>
      <c r="AG810" s="9"/>
      <c r="AH810" s="10"/>
    </row>
    <row r="811" spans="3:34" x14ac:dyDescent="0.35">
      <c r="C811" s="5"/>
      <c r="D811" s="5"/>
      <c r="T811" s="6"/>
      <c r="U811" s="6"/>
      <c r="V811" s="6"/>
      <c r="W811" s="7" t="str">
        <f t="shared" si="24"/>
        <v/>
      </c>
      <c r="X811" s="8" t="str">
        <f t="shared" si="25"/>
        <v/>
      </c>
      <c r="AG811" s="9"/>
      <c r="AH811" s="10"/>
    </row>
    <row r="812" spans="3:34" x14ac:dyDescent="0.35">
      <c r="C812" s="5"/>
      <c r="D812" s="5"/>
      <c r="T812" s="6"/>
      <c r="U812" s="6"/>
      <c r="V812" s="6"/>
      <c r="W812" s="7" t="str">
        <f t="shared" si="24"/>
        <v/>
      </c>
      <c r="X812" s="8" t="str">
        <f t="shared" si="25"/>
        <v/>
      </c>
      <c r="AG812" s="9"/>
      <c r="AH812" s="10"/>
    </row>
    <row r="813" spans="3:34" x14ac:dyDescent="0.35">
      <c r="C813" s="5"/>
      <c r="D813" s="5"/>
      <c r="T813" s="6"/>
      <c r="U813" s="6"/>
      <c r="V813" s="6"/>
      <c r="W813" s="7" t="str">
        <f t="shared" si="24"/>
        <v/>
      </c>
      <c r="X813" s="8" t="str">
        <f t="shared" si="25"/>
        <v/>
      </c>
      <c r="AG813" s="9"/>
      <c r="AH813" s="10"/>
    </row>
    <row r="814" spans="3:34" x14ac:dyDescent="0.35">
      <c r="C814" s="5"/>
      <c r="D814" s="5"/>
      <c r="T814" s="6"/>
      <c r="U814" s="6"/>
      <c r="V814" s="6"/>
      <c r="W814" s="7" t="str">
        <f t="shared" si="24"/>
        <v/>
      </c>
      <c r="X814" s="8" t="str">
        <f t="shared" si="25"/>
        <v/>
      </c>
      <c r="AG814" s="9"/>
      <c r="AH814" s="10"/>
    </row>
    <row r="815" spans="3:34" x14ac:dyDescent="0.35">
      <c r="C815" s="5"/>
      <c r="D815" s="5"/>
      <c r="T815" s="6"/>
      <c r="U815" s="6"/>
      <c r="V815" s="6"/>
      <c r="W815" s="7" t="str">
        <f t="shared" si="24"/>
        <v/>
      </c>
      <c r="X815" s="8" t="str">
        <f t="shared" si="25"/>
        <v/>
      </c>
      <c r="AG815" s="9"/>
      <c r="AH815" s="10"/>
    </row>
    <row r="816" spans="3:34" x14ac:dyDescent="0.35">
      <c r="C816" s="5"/>
      <c r="D816" s="5"/>
      <c r="T816" s="6"/>
      <c r="U816" s="6"/>
      <c r="V816" s="6"/>
      <c r="W816" s="7" t="str">
        <f t="shared" si="24"/>
        <v/>
      </c>
      <c r="X816" s="8" t="str">
        <f t="shared" si="25"/>
        <v/>
      </c>
      <c r="AG816" s="9"/>
      <c r="AH816" s="10"/>
    </row>
    <row r="817" spans="3:34" x14ac:dyDescent="0.35">
      <c r="C817" s="5"/>
      <c r="D817" s="5"/>
      <c r="T817" s="6"/>
      <c r="U817" s="6"/>
      <c r="V817" s="6"/>
      <c r="W817" s="7" t="str">
        <f t="shared" si="24"/>
        <v/>
      </c>
      <c r="X817" s="8" t="str">
        <f t="shared" si="25"/>
        <v/>
      </c>
      <c r="AG817" s="9"/>
      <c r="AH817" s="10"/>
    </row>
    <row r="818" spans="3:34" x14ac:dyDescent="0.35">
      <c r="C818" s="5"/>
      <c r="D818" s="5"/>
      <c r="T818" s="6"/>
      <c r="U818" s="6"/>
      <c r="V818" s="6"/>
      <c r="W818" s="7" t="str">
        <f t="shared" si="24"/>
        <v/>
      </c>
      <c r="X818" s="8" t="str">
        <f t="shared" si="25"/>
        <v/>
      </c>
      <c r="AG818" s="9"/>
      <c r="AH818" s="10"/>
    </row>
    <row r="819" spans="3:34" x14ac:dyDescent="0.35">
      <c r="C819" s="5"/>
      <c r="D819" s="5"/>
      <c r="T819" s="6"/>
      <c r="U819" s="6"/>
      <c r="V819" s="6"/>
      <c r="W819" s="7" t="str">
        <f t="shared" si="24"/>
        <v/>
      </c>
      <c r="X819" s="8" t="str">
        <f t="shared" si="25"/>
        <v/>
      </c>
      <c r="AG819" s="9"/>
      <c r="AH819" s="10"/>
    </row>
    <row r="820" spans="3:34" x14ac:dyDescent="0.35">
      <c r="C820" s="5"/>
      <c r="D820" s="5"/>
      <c r="T820" s="6"/>
      <c r="U820" s="6"/>
      <c r="V820" s="6"/>
      <c r="W820" s="7" t="str">
        <f t="shared" si="24"/>
        <v/>
      </c>
      <c r="X820" s="8" t="str">
        <f t="shared" si="25"/>
        <v/>
      </c>
      <c r="AG820" s="9"/>
      <c r="AH820" s="10"/>
    </row>
    <row r="821" spans="3:34" x14ac:dyDescent="0.35">
      <c r="C821" s="5"/>
      <c r="D821" s="5"/>
      <c r="T821" s="6"/>
      <c r="U821" s="6"/>
      <c r="V821" s="6"/>
      <c r="W821" s="7" t="str">
        <f t="shared" si="24"/>
        <v/>
      </c>
      <c r="X821" s="8" t="str">
        <f t="shared" si="25"/>
        <v/>
      </c>
      <c r="AG821" s="9"/>
      <c r="AH821" s="10"/>
    </row>
    <row r="822" spans="3:34" x14ac:dyDescent="0.35">
      <c r="C822" s="5"/>
      <c r="D822" s="5"/>
      <c r="T822" s="6"/>
      <c r="U822" s="6"/>
      <c r="V822" s="6"/>
      <c r="W822" s="7" t="str">
        <f t="shared" si="24"/>
        <v/>
      </c>
      <c r="X822" s="8" t="str">
        <f t="shared" si="25"/>
        <v/>
      </c>
      <c r="AG822" s="9"/>
      <c r="AH822" s="10"/>
    </row>
    <row r="823" spans="3:34" x14ac:dyDescent="0.35">
      <c r="C823" s="5"/>
      <c r="D823" s="5"/>
      <c r="T823" s="6"/>
      <c r="U823" s="6"/>
      <c r="V823" s="6"/>
      <c r="W823" s="7" t="str">
        <f t="shared" si="24"/>
        <v/>
      </c>
      <c r="X823" s="8" t="str">
        <f t="shared" si="25"/>
        <v/>
      </c>
      <c r="AG823" s="9"/>
      <c r="AH823" s="10"/>
    </row>
    <row r="824" spans="3:34" x14ac:dyDescent="0.35">
      <c r="C824" s="5"/>
      <c r="D824" s="5"/>
      <c r="T824" s="6"/>
      <c r="U824" s="6"/>
      <c r="V824" s="6"/>
      <c r="W824" s="7" t="str">
        <f t="shared" si="24"/>
        <v/>
      </c>
      <c r="X824" s="8" t="str">
        <f t="shared" si="25"/>
        <v/>
      </c>
      <c r="AG824" s="9"/>
      <c r="AH824" s="10"/>
    </row>
    <row r="825" spans="3:34" x14ac:dyDescent="0.35">
      <c r="C825" s="5"/>
      <c r="D825" s="5"/>
      <c r="T825" s="6"/>
      <c r="U825" s="6"/>
      <c r="V825" s="6"/>
      <c r="W825" s="7" t="str">
        <f t="shared" si="24"/>
        <v/>
      </c>
      <c r="X825" s="8" t="str">
        <f t="shared" si="25"/>
        <v/>
      </c>
      <c r="AG825" s="9"/>
      <c r="AH825" s="10"/>
    </row>
    <row r="826" spans="3:34" x14ac:dyDescent="0.35">
      <c r="C826" s="5"/>
      <c r="D826" s="5"/>
      <c r="T826" s="6"/>
      <c r="U826" s="6"/>
      <c r="V826" s="6"/>
      <c r="W826" s="7" t="str">
        <f t="shared" si="24"/>
        <v/>
      </c>
      <c r="X826" s="8" t="str">
        <f t="shared" si="25"/>
        <v/>
      </c>
      <c r="AG826" s="9"/>
      <c r="AH826" s="10"/>
    </row>
    <row r="827" spans="3:34" x14ac:dyDescent="0.35">
      <c r="C827" s="5"/>
      <c r="D827" s="5"/>
      <c r="T827" s="6"/>
      <c r="U827" s="6"/>
      <c r="V827" s="6"/>
      <c r="W827" s="7" t="str">
        <f t="shared" si="24"/>
        <v/>
      </c>
      <c r="X827" s="8" t="str">
        <f t="shared" si="25"/>
        <v/>
      </c>
      <c r="AG827" s="9"/>
      <c r="AH827" s="10"/>
    </row>
    <row r="828" spans="3:34" x14ac:dyDescent="0.35">
      <c r="C828" s="5"/>
      <c r="D828" s="5"/>
      <c r="T828" s="6"/>
      <c r="U828" s="6"/>
      <c r="V828" s="6"/>
      <c r="W828" s="7" t="str">
        <f t="shared" si="24"/>
        <v/>
      </c>
      <c r="X828" s="8" t="str">
        <f t="shared" si="25"/>
        <v/>
      </c>
      <c r="AG828" s="9"/>
      <c r="AH828" s="10"/>
    </row>
    <row r="829" spans="3:34" x14ac:dyDescent="0.35">
      <c r="C829" s="5"/>
      <c r="D829" s="5"/>
      <c r="T829" s="6"/>
      <c r="U829" s="6"/>
      <c r="V829" s="6"/>
      <c r="W829" s="7" t="str">
        <f t="shared" si="24"/>
        <v/>
      </c>
      <c r="X829" s="8" t="str">
        <f t="shared" si="25"/>
        <v/>
      </c>
      <c r="AG829" s="9"/>
      <c r="AH829" s="10"/>
    </row>
    <row r="830" spans="3:34" x14ac:dyDescent="0.35">
      <c r="C830" s="5"/>
      <c r="D830" s="5"/>
      <c r="T830" s="6"/>
      <c r="U830" s="6"/>
      <c r="V830" s="6"/>
      <c r="W830" s="7" t="str">
        <f t="shared" si="24"/>
        <v/>
      </c>
      <c r="X830" s="8" t="str">
        <f t="shared" si="25"/>
        <v/>
      </c>
      <c r="AG830" s="9"/>
      <c r="AH830" s="10"/>
    </row>
    <row r="831" spans="3:34" x14ac:dyDescent="0.35">
      <c r="C831" s="5"/>
      <c r="D831" s="5"/>
      <c r="T831" s="6"/>
      <c r="U831" s="6"/>
      <c r="V831" s="6"/>
      <c r="W831" s="7" t="str">
        <f t="shared" si="24"/>
        <v/>
      </c>
      <c r="X831" s="8" t="str">
        <f t="shared" si="25"/>
        <v/>
      </c>
      <c r="AG831" s="9"/>
      <c r="AH831" s="10"/>
    </row>
    <row r="832" spans="3:34" x14ac:dyDescent="0.35">
      <c r="C832" s="5"/>
      <c r="D832" s="5"/>
      <c r="T832" s="6"/>
      <c r="U832" s="6"/>
      <c r="V832" s="6"/>
      <c r="W832" s="7" t="str">
        <f t="shared" si="24"/>
        <v/>
      </c>
      <c r="X832" s="8" t="str">
        <f t="shared" si="25"/>
        <v/>
      </c>
      <c r="AG832" s="9"/>
      <c r="AH832" s="10"/>
    </row>
    <row r="833" spans="3:34" x14ac:dyDescent="0.35">
      <c r="C833" s="5"/>
      <c r="D833" s="5"/>
      <c r="T833" s="6"/>
      <c r="U833" s="6"/>
      <c r="V833" s="6"/>
      <c r="W833" s="7" t="str">
        <f t="shared" si="24"/>
        <v/>
      </c>
      <c r="X833" s="8" t="str">
        <f t="shared" si="25"/>
        <v/>
      </c>
      <c r="AG833" s="9"/>
      <c r="AH833" s="10"/>
    </row>
    <row r="834" spans="3:34" x14ac:dyDescent="0.35">
      <c r="C834" s="5"/>
      <c r="D834" s="5"/>
      <c r="T834" s="6"/>
      <c r="U834" s="6"/>
      <c r="V834" s="6"/>
      <c r="W834" s="7" t="str">
        <f t="shared" ref="W834:W897" si="26">IF($U834&gt;0,$U834-$V834,"")</f>
        <v/>
      </c>
      <c r="X834" s="8" t="str">
        <f t="shared" ref="X834:X897" si="27">IF($U834&gt;0,($U834-$V834)/$U834,"")</f>
        <v/>
      </c>
      <c r="AG834" s="9"/>
      <c r="AH834" s="10"/>
    </row>
    <row r="835" spans="3:34" x14ac:dyDescent="0.35">
      <c r="C835" s="5"/>
      <c r="D835" s="5"/>
      <c r="T835" s="6"/>
      <c r="U835" s="6"/>
      <c r="V835" s="6"/>
      <c r="W835" s="7" t="str">
        <f t="shared" si="26"/>
        <v/>
      </c>
      <c r="X835" s="8" t="str">
        <f t="shared" si="27"/>
        <v/>
      </c>
      <c r="AG835" s="9"/>
      <c r="AH835" s="10"/>
    </row>
    <row r="836" spans="3:34" x14ac:dyDescent="0.35">
      <c r="C836" s="5"/>
      <c r="D836" s="5"/>
      <c r="T836" s="6"/>
      <c r="U836" s="6"/>
      <c r="V836" s="6"/>
      <c r="W836" s="7" t="str">
        <f t="shared" si="26"/>
        <v/>
      </c>
      <c r="X836" s="8" t="str">
        <f t="shared" si="27"/>
        <v/>
      </c>
      <c r="AG836" s="9"/>
      <c r="AH836" s="10"/>
    </row>
    <row r="837" spans="3:34" x14ac:dyDescent="0.35">
      <c r="C837" s="5"/>
      <c r="D837" s="5"/>
      <c r="T837" s="6"/>
      <c r="U837" s="6"/>
      <c r="V837" s="6"/>
      <c r="W837" s="7" t="str">
        <f t="shared" si="26"/>
        <v/>
      </c>
      <c r="X837" s="8" t="str">
        <f t="shared" si="27"/>
        <v/>
      </c>
      <c r="AG837" s="9"/>
      <c r="AH837" s="10"/>
    </row>
    <row r="838" spans="3:34" x14ac:dyDescent="0.35">
      <c r="C838" s="5"/>
      <c r="D838" s="5"/>
      <c r="T838" s="6"/>
      <c r="U838" s="6"/>
      <c r="V838" s="6"/>
      <c r="W838" s="7" t="str">
        <f t="shared" si="26"/>
        <v/>
      </c>
      <c r="X838" s="8" t="str">
        <f t="shared" si="27"/>
        <v/>
      </c>
      <c r="AG838" s="9"/>
      <c r="AH838" s="10"/>
    </row>
    <row r="839" spans="3:34" x14ac:dyDescent="0.35">
      <c r="C839" s="5"/>
      <c r="D839" s="5"/>
      <c r="T839" s="6"/>
      <c r="U839" s="6"/>
      <c r="V839" s="6"/>
      <c r="W839" s="7" t="str">
        <f t="shared" si="26"/>
        <v/>
      </c>
      <c r="X839" s="8" t="str">
        <f t="shared" si="27"/>
        <v/>
      </c>
      <c r="AG839" s="9"/>
      <c r="AH839" s="10"/>
    </row>
    <row r="840" spans="3:34" x14ac:dyDescent="0.35">
      <c r="C840" s="5"/>
      <c r="D840" s="5"/>
      <c r="T840" s="6"/>
      <c r="U840" s="6"/>
      <c r="V840" s="6"/>
      <c r="W840" s="7" t="str">
        <f t="shared" si="26"/>
        <v/>
      </c>
      <c r="X840" s="8" t="str">
        <f t="shared" si="27"/>
        <v/>
      </c>
      <c r="AG840" s="9"/>
      <c r="AH840" s="10"/>
    </row>
    <row r="841" spans="3:34" x14ac:dyDescent="0.35">
      <c r="C841" s="5"/>
      <c r="D841" s="5"/>
      <c r="T841" s="6"/>
      <c r="U841" s="6"/>
      <c r="V841" s="6"/>
      <c r="W841" s="7" t="str">
        <f t="shared" si="26"/>
        <v/>
      </c>
      <c r="X841" s="8" t="str">
        <f t="shared" si="27"/>
        <v/>
      </c>
      <c r="AG841" s="9"/>
      <c r="AH841" s="10"/>
    </row>
    <row r="842" spans="3:34" x14ac:dyDescent="0.35">
      <c r="C842" s="5"/>
      <c r="D842" s="5"/>
      <c r="T842" s="6"/>
      <c r="U842" s="6"/>
      <c r="V842" s="6"/>
      <c r="W842" s="7" t="str">
        <f t="shared" si="26"/>
        <v/>
      </c>
      <c r="X842" s="8" t="str">
        <f t="shared" si="27"/>
        <v/>
      </c>
      <c r="AG842" s="9"/>
      <c r="AH842" s="10"/>
    </row>
    <row r="843" spans="3:34" x14ac:dyDescent="0.35">
      <c r="C843" s="5"/>
      <c r="D843" s="5"/>
      <c r="T843" s="6"/>
      <c r="U843" s="6"/>
      <c r="V843" s="6"/>
      <c r="W843" s="7" t="str">
        <f t="shared" si="26"/>
        <v/>
      </c>
      <c r="X843" s="8" t="str">
        <f t="shared" si="27"/>
        <v/>
      </c>
      <c r="AG843" s="9"/>
      <c r="AH843" s="10"/>
    </row>
    <row r="844" spans="3:34" x14ac:dyDescent="0.35">
      <c r="C844" s="5"/>
      <c r="D844" s="5"/>
      <c r="T844" s="6"/>
      <c r="U844" s="6"/>
      <c r="V844" s="6"/>
      <c r="W844" s="7" t="str">
        <f t="shared" si="26"/>
        <v/>
      </c>
      <c r="X844" s="8" t="str">
        <f t="shared" si="27"/>
        <v/>
      </c>
      <c r="AG844" s="9"/>
      <c r="AH844" s="10"/>
    </row>
    <row r="845" spans="3:34" x14ac:dyDescent="0.35">
      <c r="C845" s="5"/>
      <c r="D845" s="5"/>
      <c r="T845" s="6"/>
      <c r="U845" s="6"/>
      <c r="V845" s="6"/>
      <c r="W845" s="7" t="str">
        <f t="shared" si="26"/>
        <v/>
      </c>
      <c r="X845" s="8" t="str">
        <f t="shared" si="27"/>
        <v/>
      </c>
      <c r="AG845" s="9"/>
      <c r="AH845" s="10"/>
    </row>
    <row r="846" spans="3:34" x14ac:dyDescent="0.35">
      <c r="C846" s="5"/>
      <c r="D846" s="5"/>
      <c r="T846" s="6"/>
      <c r="U846" s="6"/>
      <c r="V846" s="6"/>
      <c r="W846" s="7" t="str">
        <f t="shared" si="26"/>
        <v/>
      </c>
      <c r="X846" s="8" t="str">
        <f t="shared" si="27"/>
        <v/>
      </c>
      <c r="AG846" s="9"/>
      <c r="AH846" s="10"/>
    </row>
    <row r="847" spans="3:34" x14ac:dyDescent="0.35">
      <c r="C847" s="5"/>
      <c r="D847" s="5"/>
      <c r="T847" s="6"/>
      <c r="U847" s="6"/>
      <c r="V847" s="6"/>
      <c r="W847" s="7" t="str">
        <f t="shared" si="26"/>
        <v/>
      </c>
      <c r="X847" s="8" t="str">
        <f t="shared" si="27"/>
        <v/>
      </c>
      <c r="AG847" s="9"/>
      <c r="AH847" s="10"/>
    </row>
    <row r="848" spans="3:34" x14ac:dyDescent="0.35">
      <c r="C848" s="5"/>
      <c r="D848" s="5"/>
      <c r="T848" s="6"/>
      <c r="U848" s="6"/>
      <c r="V848" s="6"/>
      <c r="W848" s="7" t="str">
        <f t="shared" si="26"/>
        <v/>
      </c>
      <c r="X848" s="8" t="str">
        <f t="shared" si="27"/>
        <v/>
      </c>
      <c r="AG848" s="9"/>
      <c r="AH848" s="10"/>
    </row>
    <row r="849" spans="3:34" x14ac:dyDescent="0.35">
      <c r="C849" s="5"/>
      <c r="D849" s="5"/>
      <c r="T849" s="6"/>
      <c r="U849" s="6"/>
      <c r="V849" s="6"/>
      <c r="W849" s="7" t="str">
        <f t="shared" si="26"/>
        <v/>
      </c>
      <c r="X849" s="8" t="str">
        <f t="shared" si="27"/>
        <v/>
      </c>
      <c r="AG849" s="9"/>
      <c r="AH849" s="10"/>
    </row>
    <row r="850" spans="3:34" x14ac:dyDescent="0.35">
      <c r="C850" s="5"/>
      <c r="D850" s="5"/>
      <c r="T850" s="6"/>
      <c r="U850" s="6"/>
      <c r="V850" s="6"/>
      <c r="W850" s="7" t="str">
        <f t="shared" si="26"/>
        <v/>
      </c>
      <c r="X850" s="8" t="str">
        <f t="shared" si="27"/>
        <v/>
      </c>
      <c r="AG850" s="9"/>
      <c r="AH850" s="10"/>
    </row>
    <row r="851" spans="3:34" x14ac:dyDescent="0.35">
      <c r="C851" s="5"/>
      <c r="D851" s="5"/>
      <c r="T851" s="6"/>
      <c r="U851" s="6"/>
      <c r="V851" s="6"/>
      <c r="W851" s="7" t="str">
        <f t="shared" si="26"/>
        <v/>
      </c>
      <c r="X851" s="8" t="str">
        <f t="shared" si="27"/>
        <v/>
      </c>
      <c r="AG851" s="9"/>
      <c r="AH851" s="10"/>
    </row>
    <row r="852" spans="3:34" x14ac:dyDescent="0.35">
      <c r="C852" s="5"/>
      <c r="D852" s="5"/>
      <c r="T852" s="6"/>
      <c r="U852" s="6"/>
      <c r="V852" s="6"/>
      <c r="W852" s="7" t="str">
        <f t="shared" si="26"/>
        <v/>
      </c>
      <c r="X852" s="8" t="str">
        <f t="shared" si="27"/>
        <v/>
      </c>
      <c r="AG852" s="9"/>
      <c r="AH852" s="10"/>
    </row>
    <row r="853" spans="3:34" x14ac:dyDescent="0.35">
      <c r="C853" s="5"/>
      <c r="D853" s="5"/>
      <c r="T853" s="6"/>
      <c r="U853" s="6"/>
      <c r="V853" s="6"/>
      <c r="W853" s="7" t="str">
        <f t="shared" si="26"/>
        <v/>
      </c>
      <c r="X853" s="8" t="str">
        <f t="shared" si="27"/>
        <v/>
      </c>
      <c r="AG853" s="9"/>
      <c r="AH853" s="10"/>
    </row>
    <row r="854" spans="3:34" x14ac:dyDescent="0.35">
      <c r="C854" s="5"/>
      <c r="D854" s="5"/>
      <c r="T854" s="6"/>
      <c r="U854" s="6"/>
      <c r="V854" s="6"/>
      <c r="W854" s="7" t="str">
        <f t="shared" si="26"/>
        <v/>
      </c>
      <c r="X854" s="8" t="str">
        <f t="shared" si="27"/>
        <v/>
      </c>
      <c r="AG854" s="9"/>
      <c r="AH854" s="10"/>
    </row>
    <row r="855" spans="3:34" x14ac:dyDescent="0.35">
      <c r="C855" s="5"/>
      <c r="D855" s="5"/>
      <c r="T855" s="6"/>
      <c r="U855" s="6"/>
      <c r="V855" s="6"/>
      <c r="W855" s="7" t="str">
        <f t="shared" si="26"/>
        <v/>
      </c>
      <c r="X855" s="8" t="str">
        <f t="shared" si="27"/>
        <v/>
      </c>
      <c r="AG855" s="9"/>
      <c r="AH855" s="10"/>
    </row>
    <row r="856" spans="3:34" x14ac:dyDescent="0.35">
      <c r="C856" s="5"/>
      <c r="D856" s="5"/>
      <c r="T856" s="6"/>
      <c r="U856" s="6"/>
      <c r="V856" s="6"/>
      <c r="W856" s="7" t="str">
        <f t="shared" si="26"/>
        <v/>
      </c>
      <c r="X856" s="8" t="str">
        <f t="shared" si="27"/>
        <v/>
      </c>
      <c r="AG856" s="9"/>
      <c r="AH856" s="10"/>
    </row>
    <row r="857" spans="3:34" x14ac:dyDescent="0.35">
      <c r="C857" s="5"/>
      <c r="D857" s="5"/>
      <c r="T857" s="6"/>
      <c r="U857" s="6"/>
      <c r="V857" s="6"/>
      <c r="W857" s="7" t="str">
        <f t="shared" si="26"/>
        <v/>
      </c>
      <c r="X857" s="8" t="str">
        <f t="shared" si="27"/>
        <v/>
      </c>
      <c r="AG857" s="9"/>
      <c r="AH857" s="10"/>
    </row>
    <row r="858" spans="3:34" x14ac:dyDescent="0.35">
      <c r="C858" s="5"/>
      <c r="D858" s="5"/>
      <c r="T858" s="6"/>
      <c r="U858" s="6"/>
      <c r="V858" s="6"/>
      <c r="W858" s="7" t="str">
        <f t="shared" si="26"/>
        <v/>
      </c>
      <c r="X858" s="8" t="str">
        <f t="shared" si="27"/>
        <v/>
      </c>
      <c r="AG858" s="9"/>
      <c r="AH858" s="10"/>
    </row>
    <row r="859" spans="3:34" x14ac:dyDescent="0.35">
      <c r="C859" s="5"/>
      <c r="D859" s="5"/>
      <c r="T859" s="6"/>
      <c r="U859" s="6"/>
      <c r="V859" s="6"/>
      <c r="W859" s="7" t="str">
        <f t="shared" si="26"/>
        <v/>
      </c>
      <c r="X859" s="8" t="str">
        <f t="shared" si="27"/>
        <v/>
      </c>
      <c r="AG859" s="9"/>
      <c r="AH859" s="10"/>
    </row>
    <row r="860" spans="3:34" x14ac:dyDescent="0.35">
      <c r="C860" s="5"/>
      <c r="D860" s="5"/>
      <c r="T860" s="6"/>
      <c r="U860" s="6"/>
      <c r="V860" s="6"/>
      <c r="W860" s="7" t="str">
        <f t="shared" si="26"/>
        <v/>
      </c>
      <c r="X860" s="8" t="str">
        <f t="shared" si="27"/>
        <v/>
      </c>
      <c r="AG860" s="9"/>
      <c r="AH860" s="10"/>
    </row>
    <row r="861" spans="3:34" x14ac:dyDescent="0.35">
      <c r="C861" s="5"/>
      <c r="D861" s="5"/>
      <c r="T861" s="6"/>
      <c r="U861" s="6"/>
      <c r="V861" s="6"/>
      <c r="W861" s="7" t="str">
        <f t="shared" si="26"/>
        <v/>
      </c>
      <c r="X861" s="8" t="str">
        <f t="shared" si="27"/>
        <v/>
      </c>
      <c r="AG861" s="9"/>
      <c r="AH861" s="10"/>
    </row>
    <row r="862" spans="3:34" x14ac:dyDescent="0.35">
      <c r="C862" s="5"/>
      <c r="D862" s="5"/>
      <c r="T862" s="6"/>
      <c r="U862" s="6"/>
      <c r="V862" s="6"/>
      <c r="W862" s="7" t="str">
        <f t="shared" si="26"/>
        <v/>
      </c>
      <c r="X862" s="8" t="str">
        <f t="shared" si="27"/>
        <v/>
      </c>
      <c r="AG862" s="9"/>
      <c r="AH862" s="10"/>
    </row>
    <row r="863" spans="3:34" x14ac:dyDescent="0.35">
      <c r="C863" s="5"/>
      <c r="D863" s="5"/>
      <c r="T863" s="6"/>
      <c r="U863" s="6"/>
      <c r="V863" s="6"/>
      <c r="W863" s="7" t="str">
        <f t="shared" si="26"/>
        <v/>
      </c>
      <c r="X863" s="8" t="str">
        <f t="shared" si="27"/>
        <v/>
      </c>
      <c r="AG863" s="9"/>
      <c r="AH863" s="10"/>
    </row>
    <row r="864" spans="3:34" x14ac:dyDescent="0.35">
      <c r="C864" s="5"/>
      <c r="D864" s="5"/>
      <c r="T864" s="6"/>
      <c r="U864" s="6"/>
      <c r="V864" s="6"/>
      <c r="W864" s="7" t="str">
        <f t="shared" si="26"/>
        <v/>
      </c>
      <c r="X864" s="8" t="str">
        <f t="shared" si="27"/>
        <v/>
      </c>
      <c r="AG864" s="9"/>
      <c r="AH864" s="10"/>
    </row>
    <row r="865" spans="3:34" x14ac:dyDescent="0.35">
      <c r="C865" s="5"/>
      <c r="D865" s="5"/>
      <c r="T865" s="6"/>
      <c r="U865" s="6"/>
      <c r="V865" s="6"/>
      <c r="W865" s="7" t="str">
        <f t="shared" si="26"/>
        <v/>
      </c>
      <c r="X865" s="8" t="str">
        <f t="shared" si="27"/>
        <v/>
      </c>
      <c r="AG865" s="9"/>
      <c r="AH865" s="10"/>
    </row>
    <row r="866" spans="3:34" x14ac:dyDescent="0.35">
      <c r="C866" s="5"/>
      <c r="D866" s="5"/>
      <c r="T866" s="6"/>
      <c r="U866" s="6"/>
      <c r="V866" s="6"/>
      <c r="W866" s="7" t="str">
        <f t="shared" si="26"/>
        <v/>
      </c>
      <c r="X866" s="8" t="str">
        <f t="shared" si="27"/>
        <v/>
      </c>
      <c r="AG866" s="9"/>
      <c r="AH866" s="10"/>
    </row>
    <row r="867" spans="3:34" x14ac:dyDescent="0.35">
      <c r="C867" s="5"/>
      <c r="D867" s="5"/>
      <c r="T867" s="6"/>
      <c r="U867" s="6"/>
      <c r="V867" s="6"/>
      <c r="W867" s="7" t="str">
        <f t="shared" si="26"/>
        <v/>
      </c>
      <c r="X867" s="8" t="str">
        <f t="shared" si="27"/>
        <v/>
      </c>
      <c r="AG867" s="9"/>
      <c r="AH867" s="10"/>
    </row>
    <row r="868" spans="3:34" x14ac:dyDescent="0.35">
      <c r="C868" s="5"/>
      <c r="D868" s="5"/>
      <c r="T868" s="6"/>
      <c r="U868" s="6"/>
      <c r="V868" s="6"/>
      <c r="W868" s="7" t="str">
        <f t="shared" si="26"/>
        <v/>
      </c>
      <c r="X868" s="8" t="str">
        <f t="shared" si="27"/>
        <v/>
      </c>
      <c r="AG868" s="9"/>
      <c r="AH868" s="10"/>
    </row>
    <row r="869" spans="3:34" x14ac:dyDescent="0.35">
      <c r="C869" s="5"/>
      <c r="D869" s="5"/>
      <c r="T869" s="6"/>
      <c r="U869" s="6"/>
      <c r="V869" s="6"/>
      <c r="W869" s="7" t="str">
        <f t="shared" si="26"/>
        <v/>
      </c>
      <c r="X869" s="8" t="str">
        <f t="shared" si="27"/>
        <v/>
      </c>
      <c r="AG869" s="9"/>
      <c r="AH869" s="10"/>
    </row>
    <row r="870" spans="3:34" x14ac:dyDescent="0.35">
      <c r="C870" s="5"/>
      <c r="D870" s="5"/>
      <c r="T870" s="6"/>
      <c r="U870" s="6"/>
      <c r="V870" s="6"/>
      <c r="W870" s="7" t="str">
        <f t="shared" si="26"/>
        <v/>
      </c>
      <c r="X870" s="8" t="str">
        <f t="shared" si="27"/>
        <v/>
      </c>
      <c r="AG870" s="9"/>
      <c r="AH870" s="10"/>
    </row>
    <row r="871" spans="3:34" x14ac:dyDescent="0.35">
      <c r="C871" s="5"/>
      <c r="D871" s="5"/>
      <c r="T871" s="6"/>
      <c r="U871" s="6"/>
      <c r="V871" s="6"/>
      <c r="W871" s="7" t="str">
        <f t="shared" si="26"/>
        <v/>
      </c>
      <c r="X871" s="8" t="str">
        <f t="shared" si="27"/>
        <v/>
      </c>
      <c r="AG871" s="9"/>
      <c r="AH871" s="10"/>
    </row>
    <row r="872" spans="3:34" x14ac:dyDescent="0.35">
      <c r="C872" s="5"/>
      <c r="D872" s="5"/>
      <c r="T872" s="6"/>
      <c r="U872" s="6"/>
      <c r="V872" s="6"/>
      <c r="W872" s="7" t="str">
        <f t="shared" si="26"/>
        <v/>
      </c>
      <c r="X872" s="8" t="str">
        <f t="shared" si="27"/>
        <v/>
      </c>
      <c r="AG872" s="9"/>
      <c r="AH872" s="10"/>
    </row>
    <row r="873" spans="3:34" x14ac:dyDescent="0.35">
      <c r="C873" s="5"/>
      <c r="D873" s="5"/>
      <c r="T873" s="6"/>
      <c r="U873" s="6"/>
      <c r="V873" s="6"/>
      <c r="W873" s="7" t="str">
        <f t="shared" si="26"/>
        <v/>
      </c>
      <c r="X873" s="8" t="str">
        <f t="shared" si="27"/>
        <v/>
      </c>
      <c r="AG873" s="9"/>
      <c r="AH873" s="10"/>
    </row>
    <row r="874" spans="3:34" x14ac:dyDescent="0.35">
      <c r="C874" s="5"/>
      <c r="D874" s="5"/>
      <c r="T874" s="6"/>
      <c r="U874" s="6"/>
      <c r="V874" s="6"/>
      <c r="W874" s="7" t="str">
        <f t="shared" si="26"/>
        <v/>
      </c>
      <c r="X874" s="8" t="str">
        <f t="shared" si="27"/>
        <v/>
      </c>
      <c r="AG874" s="9"/>
      <c r="AH874" s="10"/>
    </row>
    <row r="875" spans="3:34" x14ac:dyDescent="0.35">
      <c r="C875" s="5"/>
      <c r="D875" s="5"/>
      <c r="T875" s="6"/>
      <c r="U875" s="6"/>
      <c r="V875" s="6"/>
      <c r="W875" s="7" t="str">
        <f t="shared" si="26"/>
        <v/>
      </c>
      <c r="X875" s="8" t="str">
        <f t="shared" si="27"/>
        <v/>
      </c>
      <c r="AG875" s="9"/>
      <c r="AH875" s="10"/>
    </row>
    <row r="876" spans="3:34" x14ac:dyDescent="0.35">
      <c r="C876" s="5"/>
      <c r="D876" s="5"/>
      <c r="T876" s="6"/>
      <c r="U876" s="6"/>
      <c r="V876" s="6"/>
      <c r="W876" s="7" t="str">
        <f t="shared" si="26"/>
        <v/>
      </c>
      <c r="X876" s="8" t="str">
        <f t="shared" si="27"/>
        <v/>
      </c>
      <c r="AG876" s="9"/>
      <c r="AH876" s="10"/>
    </row>
    <row r="877" spans="3:34" x14ac:dyDescent="0.35">
      <c r="C877" s="5"/>
      <c r="D877" s="5"/>
      <c r="T877" s="6"/>
      <c r="U877" s="6"/>
      <c r="V877" s="6"/>
      <c r="W877" s="7" t="str">
        <f t="shared" si="26"/>
        <v/>
      </c>
      <c r="X877" s="8" t="str">
        <f t="shared" si="27"/>
        <v/>
      </c>
      <c r="AG877" s="9"/>
      <c r="AH877" s="10"/>
    </row>
    <row r="878" spans="3:34" x14ac:dyDescent="0.35">
      <c r="C878" s="5"/>
      <c r="D878" s="5"/>
      <c r="T878" s="6"/>
      <c r="U878" s="6"/>
      <c r="V878" s="6"/>
      <c r="W878" s="7" t="str">
        <f t="shared" si="26"/>
        <v/>
      </c>
      <c r="X878" s="8" t="str">
        <f t="shared" si="27"/>
        <v/>
      </c>
      <c r="AG878" s="9"/>
      <c r="AH878" s="10"/>
    </row>
    <row r="879" spans="3:34" x14ac:dyDescent="0.35">
      <c r="C879" s="5"/>
      <c r="D879" s="5"/>
      <c r="T879" s="6"/>
      <c r="U879" s="6"/>
      <c r="V879" s="6"/>
      <c r="W879" s="7" t="str">
        <f t="shared" si="26"/>
        <v/>
      </c>
      <c r="X879" s="8" t="str">
        <f t="shared" si="27"/>
        <v/>
      </c>
      <c r="AG879" s="9"/>
      <c r="AH879" s="10"/>
    </row>
    <row r="880" spans="3:34" x14ac:dyDescent="0.35">
      <c r="C880" s="5"/>
      <c r="D880" s="5"/>
      <c r="T880" s="6"/>
      <c r="U880" s="6"/>
      <c r="V880" s="6"/>
      <c r="W880" s="7" t="str">
        <f t="shared" si="26"/>
        <v/>
      </c>
      <c r="X880" s="8" t="str">
        <f t="shared" si="27"/>
        <v/>
      </c>
      <c r="AG880" s="9"/>
      <c r="AH880" s="10"/>
    </row>
    <row r="881" spans="3:34" x14ac:dyDescent="0.35">
      <c r="C881" s="5"/>
      <c r="D881" s="5"/>
      <c r="T881" s="6"/>
      <c r="U881" s="6"/>
      <c r="V881" s="6"/>
      <c r="W881" s="7" t="str">
        <f t="shared" si="26"/>
        <v/>
      </c>
      <c r="X881" s="8" t="str">
        <f t="shared" si="27"/>
        <v/>
      </c>
      <c r="AG881" s="9"/>
      <c r="AH881" s="10"/>
    </row>
    <row r="882" spans="3:34" x14ac:dyDescent="0.35">
      <c r="C882" s="5"/>
      <c r="D882" s="5"/>
      <c r="T882" s="6"/>
      <c r="U882" s="6"/>
      <c r="V882" s="6"/>
      <c r="W882" s="7" t="str">
        <f t="shared" si="26"/>
        <v/>
      </c>
      <c r="X882" s="8" t="str">
        <f t="shared" si="27"/>
        <v/>
      </c>
      <c r="AG882" s="9"/>
      <c r="AH882" s="10"/>
    </row>
    <row r="883" spans="3:34" x14ac:dyDescent="0.35">
      <c r="C883" s="5"/>
      <c r="D883" s="5"/>
      <c r="T883" s="6"/>
      <c r="U883" s="6"/>
      <c r="V883" s="6"/>
      <c r="W883" s="7" t="str">
        <f t="shared" si="26"/>
        <v/>
      </c>
      <c r="X883" s="8" t="str">
        <f t="shared" si="27"/>
        <v/>
      </c>
      <c r="AG883" s="9"/>
      <c r="AH883" s="10"/>
    </row>
    <row r="884" spans="3:34" x14ac:dyDescent="0.35">
      <c r="C884" s="5"/>
      <c r="D884" s="5"/>
      <c r="T884" s="6"/>
      <c r="U884" s="6"/>
      <c r="V884" s="6"/>
      <c r="W884" s="7" t="str">
        <f t="shared" si="26"/>
        <v/>
      </c>
      <c r="X884" s="8" t="str">
        <f t="shared" si="27"/>
        <v/>
      </c>
      <c r="AG884" s="9"/>
      <c r="AH884" s="10"/>
    </row>
    <row r="885" spans="3:34" x14ac:dyDescent="0.35">
      <c r="C885" s="5"/>
      <c r="D885" s="5"/>
      <c r="T885" s="6"/>
      <c r="U885" s="6"/>
      <c r="V885" s="6"/>
      <c r="W885" s="7" t="str">
        <f t="shared" si="26"/>
        <v/>
      </c>
      <c r="X885" s="8" t="str">
        <f t="shared" si="27"/>
        <v/>
      </c>
      <c r="AG885" s="9"/>
      <c r="AH885" s="10"/>
    </row>
    <row r="886" spans="3:34" x14ac:dyDescent="0.35">
      <c r="C886" s="5"/>
      <c r="D886" s="5"/>
      <c r="T886" s="6"/>
      <c r="U886" s="6"/>
      <c r="V886" s="6"/>
      <c r="W886" s="7" t="str">
        <f t="shared" si="26"/>
        <v/>
      </c>
      <c r="X886" s="8" t="str">
        <f t="shared" si="27"/>
        <v/>
      </c>
      <c r="AG886" s="9"/>
      <c r="AH886" s="10"/>
    </row>
    <row r="887" spans="3:34" x14ac:dyDescent="0.35">
      <c r="C887" s="5"/>
      <c r="D887" s="5"/>
      <c r="T887" s="6"/>
      <c r="U887" s="6"/>
      <c r="V887" s="6"/>
      <c r="W887" s="7" t="str">
        <f t="shared" si="26"/>
        <v/>
      </c>
      <c r="X887" s="8" t="str">
        <f t="shared" si="27"/>
        <v/>
      </c>
      <c r="AG887" s="9"/>
      <c r="AH887" s="10"/>
    </row>
    <row r="888" spans="3:34" x14ac:dyDescent="0.35">
      <c r="C888" s="5"/>
      <c r="D888" s="5"/>
      <c r="T888" s="6"/>
      <c r="U888" s="6"/>
      <c r="V888" s="6"/>
      <c r="W888" s="7" t="str">
        <f t="shared" si="26"/>
        <v/>
      </c>
      <c r="X888" s="8" t="str">
        <f t="shared" si="27"/>
        <v/>
      </c>
      <c r="AG888" s="9"/>
      <c r="AH888" s="10"/>
    </row>
    <row r="889" spans="3:34" x14ac:dyDescent="0.35">
      <c r="C889" s="5"/>
      <c r="D889" s="5"/>
      <c r="T889" s="6"/>
      <c r="U889" s="6"/>
      <c r="V889" s="6"/>
      <c r="W889" s="7" t="str">
        <f t="shared" si="26"/>
        <v/>
      </c>
      <c r="X889" s="8" t="str">
        <f t="shared" si="27"/>
        <v/>
      </c>
      <c r="AG889" s="9"/>
      <c r="AH889" s="10"/>
    </row>
    <row r="890" spans="3:34" x14ac:dyDescent="0.35">
      <c r="C890" s="5"/>
      <c r="D890" s="5"/>
      <c r="T890" s="6"/>
      <c r="U890" s="6"/>
      <c r="V890" s="6"/>
      <c r="W890" s="7" t="str">
        <f t="shared" si="26"/>
        <v/>
      </c>
      <c r="X890" s="8" t="str">
        <f t="shared" si="27"/>
        <v/>
      </c>
      <c r="AG890" s="9"/>
      <c r="AH890" s="10"/>
    </row>
    <row r="891" spans="3:34" x14ac:dyDescent="0.35">
      <c r="C891" s="5"/>
      <c r="D891" s="5"/>
      <c r="T891" s="6"/>
      <c r="U891" s="6"/>
      <c r="V891" s="6"/>
      <c r="W891" s="7" t="str">
        <f t="shared" si="26"/>
        <v/>
      </c>
      <c r="X891" s="8" t="str">
        <f t="shared" si="27"/>
        <v/>
      </c>
      <c r="AG891" s="9"/>
      <c r="AH891" s="10"/>
    </row>
    <row r="892" spans="3:34" x14ac:dyDescent="0.35">
      <c r="C892" s="5"/>
      <c r="D892" s="5"/>
      <c r="T892" s="6"/>
      <c r="U892" s="6"/>
      <c r="V892" s="6"/>
      <c r="W892" s="7" t="str">
        <f t="shared" si="26"/>
        <v/>
      </c>
      <c r="X892" s="8" t="str">
        <f t="shared" si="27"/>
        <v/>
      </c>
      <c r="AG892" s="9"/>
      <c r="AH892" s="10"/>
    </row>
    <row r="893" spans="3:34" x14ac:dyDescent="0.35">
      <c r="C893" s="5"/>
      <c r="D893" s="5"/>
      <c r="T893" s="6"/>
      <c r="U893" s="6"/>
      <c r="V893" s="6"/>
      <c r="W893" s="7" t="str">
        <f t="shared" si="26"/>
        <v/>
      </c>
      <c r="X893" s="8" t="str">
        <f t="shared" si="27"/>
        <v/>
      </c>
      <c r="AG893" s="9"/>
      <c r="AH893" s="10"/>
    </row>
    <row r="894" spans="3:34" x14ac:dyDescent="0.35">
      <c r="C894" s="5"/>
      <c r="D894" s="5"/>
      <c r="T894" s="6"/>
      <c r="U894" s="6"/>
      <c r="V894" s="6"/>
      <c r="W894" s="7" t="str">
        <f t="shared" si="26"/>
        <v/>
      </c>
      <c r="X894" s="8" t="str">
        <f t="shared" si="27"/>
        <v/>
      </c>
      <c r="AG894" s="9"/>
      <c r="AH894" s="10"/>
    </row>
    <row r="895" spans="3:34" x14ac:dyDescent="0.35">
      <c r="C895" s="5"/>
      <c r="D895" s="5"/>
      <c r="T895" s="6"/>
      <c r="U895" s="6"/>
      <c r="V895" s="6"/>
      <c r="W895" s="7" t="str">
        <f t="shared" si="26"/>
        <v/>
      </c>
      <c r="X895" s="8" t="str">
        <f t="shared" si="27"/>
        <v/>
      </c>
      <c r="AG895" s="9"/>
      <c r="AH895" s="10"/>
    </row>
    <row r="896" spans="3:34" x14ac:dyDescent="0.35">
      <c r="C896" s="5"/>
      <c r="D896" s="5"/>
      <c r="T896" s="6"/>
      <c r="U896" s="6"/>
      <c r="V896" s="6"/>
      <c r="W896" s="7" t="str">
        <f t="shared" si="26"/>
        <v/>
      </c>
      <c r="X896" s="8" t="str">
        <f t="shared" si="27"/>
        <v/>
      </c>
      <c r="AG896" s="9"/>
      <c r="AH896" s="10"/>
    </row>
    <row r="897" spans="3:34" x14ac:dyDescent="0.35">
      <c r="C897" s="5"/>
      <c r="D897" s="5"/>
      <c r="T897" s="6"/>
      <c r="U897" s="6"/>
      <c r="V897" s="6"/>
      <c r="W897" s="7" t="str">
        <f t="shared" si="26"/>
        <v/>
      </c>
      <c r="X897" s="8" t="str">
        <f t="shared" si="27"/>
        <v/>
      </c>
      <c r="AG897" s="9"/>
      <c r="AH897" s="10"/>
    </row>
    <row r="898" spans="3:34" x14ac:dyDescent="0.35">
      <c r="C898" s="5"/>
      <c r="D898" s="5"/>
      <c r="T898" s="6"/>
      <c r="U898" s="6"/>
      <c r="V898" s="6"/>
      <c r="W898" s="7" t="str">
        <f t="shared" ref="W898:W961" si="28">IF($U898&gt;0,$U898-$V898,"")</f>
        <v/>
      </c>
      <c r="X898" s="8" t="str">
        <f t="shared" ref="X898:X961" si="29">IF($U898&gt;0,($U898-$V898)/$U898,"")</f>
        <v/>
      </c>
      <c r="AG898" s="9"/>
      <c r="AH898" s="10"/>
    </row>
    <row r="899" spans="3:34" x14ac:dyDescent="0.35">
      <c r="C899" s="5"/>
      <c r="D899" s="5"/>
      <c r="T899" s="6"/>
      <c r="U899" s="6"/>
      <c r="V899" s="6"/>
      <c r="W899" s="7" t="str">
        <f t="shared" si="28"/>
        <v/>
      </c>
      <c r="X899" s="8" t="str">
        <f t="shared" si="29"/>
        <v/>
      </c>
      <c r="AG899" s="9"/>
      <c r="AH899" s="10"/>
    </row>
    <row r="900" spans="3:34" x14ac:dyDescent="0.35">
      <c r="C900" s="5"/>
      <c r="D900" s="5"/>
      <c r="T900" s="6"/>
      <c r="U900" s="6"/>
      <c r="V900" s="6"/>
      <c r="W900" s="7" t="str">
        <f t="shared" si="28"/>
        <v/>
      </c>
      <c r="X900" s="8" t="str">
        <f t="shared" si="29"/>
        <v/>
      </c>
      <c r="AG900" s="9"/>
      <c r="AH900" s="10"/>
    </row>
    <row r="901" spans="3:34" x14ac:dyDescent="0.35">
      <c r="C901" s="5"/>
      <c r="D901" s="5"/>
      <c r="T901" s="6"/>
      <c r="U901" s="6"/>
      <c r="V901" s="6"/>
      <c r="W901" s="7" t="str">
        <f t="shared" si="28"/>
        <v/>
      </c>
      <c r="X901" s="8" t="str">
        <f t="shared" si="29"/>
        <v/>
      </c>
      <c r="AG901" s="9"/>
      <c r="AH901" s="10"/>
    </row>
    <row r="902" spans="3:34" x14ac:dyDescent="0.35">
      <c r="C902" s="5"/>
      <c r="D902" s="5"/>
      <c r="T902" s="6"/>
      <c r="U902" s="6"/>
      <c r="V902" s="6"/>
      <c r="W902" s="7" t="str">
        <f t="shared" si="28"/>
        <v/>
      </c>
      <c r="X902" s="8" t="str">
        <f t="shared" si="29"/>
        <v/>
      </c>
      <c r="AG902" s="9"/>
      <c r="AH902" s="10"/>
    </row>
    <row r="903" spans="3:34" x14ac:dyDescent="0.35">
      <c r="C903" s="5"/>
      <c r="D903" s="5"/>
      <c r="T903" s="6"/>
      <c r="U903" s="6"/>
      <c r="V903" s="6"/>
      <c r="W903" s="7" t="str">
        <f t="shared" si="28"/>
        <v/>
      </c>
      <c r="X903" s="8" t="str">
        <f t="shared" si="29"/>
        <v/>
      </c>
      <c r="AG903" s="9"/>
      <c r="AH903" s="10"/>
    </row>
    <row r="904" spans="3:34" x14ac:dyDescent="0.35">
      <c r="C904" s="5"/>
      <c r="D904" s="5"/>
      <c r="T904" s="6"/>
      <c r="U904" s="6"/>
      <c r="V904" s="6"/>
      <c r="W904" s="7" t="str">
        <f t="shared" si="28"/>
        <v/>
      </c>
      <c r="X904" s="8" t="str">
        <f t="shared" si="29"/>
        <v/>
      </c>
      <c r="AG904" s="9"/>
      <c r="AH904" s="10"/>
    </row>
    <row r="905" spans="3:34" x14ac:dyDescent="0.35">
      <c r="C905" s="5"/>
      <c r="D905" s="5"/>
      <c r="T905" s="6"/>
      <c r="U905" s="6"/>
      <c r="V905" s="6"/>
      <c r="W905" s="7" t="str">
        <f t="shared" si="28"/>
        <v/>
      </c>
      <c r="X905" s="8" t="str">
        <f t="shared" si="29"/>
        <v/>
      </c>
      <c r="AG905" s="9"/>
      <c r="AH905" s="10"/>
    </row>
    <row r="906" spans="3:34" x14ac:dyDescent="0.35">
      <c r="C906" s="5"/>
      <c r="D906" s="5"/>
      <c r="T906" s="6"/>
      <c r="U906" s="6"/>
      <c r="V906" s="6"/>
      <c r="W906" s="7" t="str">
        <f t="shared" si="28"/>
        <v/>
      </c>
      <c r="X906" s="8" t="str">
        <f t="shared" si="29"/>
        <v/>
      </c>
      <c r="AG906" s="9"/>
      <c r="AH906" s="10"/>
    </row>
    <row r="907" spans="3:34" x14ac:dyDescent="0.35">
      <c r="C907" s="5"/>
      <c r="D907" s="5"/>
      <c r="T907" s="6"/>
      <c r="U907" s="6"/>
      <c r="V907" s="6"/>
      <c r="W907" s="7" t="str">
        <f t="shared" si="28"/>
        <v/>
      </c>
      <c r="X907" s="8" t="str">
        <f t="shared" si="29"/>
        <v/>
      </c>
      <c r="AG907" s="9"/>
      <c r="AH907" s="10"/>
    </row>
    <row r="908" spans="3:34" x14ac:dyDescent="0.35">
      <c r="C908" s="5"/>
      <c r="D908" s="5"/>
      <c r="T908" s="6"/>
      <c r="U908" s="6"/>
      <c r="V908" s="6"/>
      <c r="W908" s="7" t="str">
        <f t="shared" si="28"/>
        <v/>
      </c>
      <c r="X908" s="8" t="str">
        <f t="shared" si="29"/>
        <v/>
      </c>
      <c r="AG908" s="9"/>
      <c r="AH908" s="10"/>
    </row>
    <row r="909" spans="3:34" x14ac:dyDescent="0.35">
      <c r="C909" s="5"/>
      <c r="D909" s="5"/>
      <c r="T909" s="6"/>
      <c r="U909" s="6"/>
      <c r="V909" s="6"/>
      <c r="W909" s="7" t="str">
        <f t="shared" si="28"/>
        <v/>
      </c>
      <c r="X909" s="8" t="str">
        <f t="shared" si="29"/>
        <v/>
      </c>
      <c r="AG909" s="9"/>
      <c r="AH909" s="10"/>
    </row>
    <row r="910" spans="3:34" x14ac:dyDescent="0.35">
      <c r="C910" s="5"/>
      <c r="D910" s="5"/>
      <c r="T910" s="6"/>
      <c r="U910" s="6"/>
      <c r="V910" s="6"/>
      <c r="W910" s="7" t="str">
        <f t="shared" si="28"/>
        <v/>
      </c>
      <c r="X910" s="8" t="str">
        <f t="shared" si="29"/>
        <v/>
      </c>
      <c r="AG910" s="9"/>
      <c r="AH910" s="10"/>
    </row>
    <row r="911" spans="3:34" x14ac:dyDescent="0.35">
      <c r="C911" s="5"/>
      <c r="D911" s="5"/>
      <c r="T911" s="6"/>
      <c r="U911" s="6"/>
      <c r="V911" s="6"/>
      <c r="W911" s="7" t="str">
        <f t="shared" si="28"/>
        <v/>
      </c>
      <c r="X911" s="8" t="str">
        <f t="shared" si="29"/>
        <v/>
      </c>
      <c r="AG911" s="9"/>
      <c r="AH911" s="10"/>
    </row>
    <row r="912" spans="3:34" x14ac:dyDescent="0.35">
      <c r="C912" s="5"/>
      <c r="D912" s="5"/>
      <c r="T912" s="6"/>
      <c r="U912" s="6"/>
      <c r="V912" s="6"/>
      <c r="W912" s="7" t="str">
        <f t="shared" si="28"/>
        <v/>
      </c>
      <c r="X912" s="8" t="str">
        <f t="shared" si="29"/>
        <v/>
      </c>
      <c r="AG912" s="9"/>
      <c r="AH912" s="10"/>
    </row>
    <row r="913" spans="3:34" x14ac:dyDescent="0.35">
      <c r="C913" s="5"/>
      <c r="D913" s="5"/>
      <c r="T913" s="6"/>
      <c r="U913" s="6"/>
      <c r="V913" s="6"/>
      <c r="W913" s="7" t="str">
        <f t="shared" si="28"/>
        <v/>
      </c>
      <c r="X913" s="8" t="str">
        <f t="shared" si="29"/>
        <v/>
      </c>
      <c r="AG913" s="9"/>
      <c r="AH913" s="10"/>
    </row>
    <row r="914" spans="3:34" x14ac:dyDescent="0.35">
      <c r="C914" s="5"/>
      <c r="D914" s="5"/>
      <c r="T914" s="6"/>
      <c r="U914" s="6"/>
      <c r="V914" s="6"/>
      <c r="W914" s="7" t="str">
        <f t="shared" si="28"/>
        <v/>
      </c>
      <c r="X914" s="8" t="str">
        <f t="shared" si="29"/>
        <v/>
      </c>
      <c r="AG914" s="9"/>
      <c r="AH914" s="10"/>
    </row>
    <row r="915" spans="3:34" x14ac:dyDescent="0.35">
      <c r="C915" s="5"/>
      <c r="D915" s="5"/>
      <c r="T915" s="6"/>
      <c r="U915" s="6"/>
      <c r="V915" s="6"/>
      <c r="W915" s="7" t="str">
        <f t="shared" si="28"/>
        <v/>
      </c>
      <c r="X915" s="8" t="str">
        <f t="shared" si="29"/>
        <v/>
      </c>
      <c r="AG915" s="9"/>
      <c r="AH915" s="10"/>
    </row>
    <row r="916" spans="3:34" x14ac:dyDescent="0.35">
      <c r="C916" s="5"/>
      <c r="D916" s="5"/>
      <c r="T916" s="6"/>
      <c r="U916" s="6"/>
      <c r="V916" s="6"/>
      <c r="W916" s="7" t="str">
        <f t="shared" si="28"/>
        <v/>
      </c>
      <c r="X916" s="8" t="str">
        <f t="shared" si="29"/>
        <v/>
      </c>
      <c r="AG916" s="9"/>
      <c r="AH916" s="10"/>
    </row>
    <row r="917" spans="3:34" x14ac:dyDescent="0.35">
      <c r="C917" s="5"/>
      <c r="D917" s="5"/>
      <c r="T917" s="6"/>
      <c r="U917" s="6"/>
      <c r="V917" s="6"/>
      <c r="W917" s="7" t="str">
        <f t="shared" si="28"/>
        <v/>
      </c>
      <c r="X917" s="8" t="str">
        <f t="shared" si="29"/>
        <v/>
      </c>
      <c r="AG917" s="9"/>
      <c r="AH917" s="10"/>
    </row>
    <row r="918" spans="3:34" x14ac:dyDescent="0.35">
      <c r="C918" s="5"/>
      <c r="D918" s="5"/>
      <c r="T918" s="6"/>
      <c r="U918" s="6"/>
      <c r="V918" s="6"/>
      <c r="W918" s="7" t="str">
        <f t="shared" si="28"/>
        <v/>
      </c>
      <c r="X918" s="8" t="str">
        <f t="shared" si="29"/>
        <v/>
      </c>
      <c r="AG918" s="9"/>
      <c r="AH918" s="10"/>
    </row>
    <row r="919" spans="3:34" x14ac:dyDescent="0.35">
      <c r="C919" s="5"/>
      <c r="D919" s="5"/>
      <c r="T919" s="6"/>
      <c r="U919" s="6"/>
      <c r="V919" s="6"/>
      <c r="W919" s="7" t="str">
        <f t="shared" si="28"/>
        <v/>
      </c>
      <c r="X919" s="8" t="str">
        <f t="shared" si="29"/>
        <v/>
      </c>
      <c r="AG919" s="9"/>
      <c r="AH919" s="10"/>
    </row>
    <row r="920" spans="3:34" x14ac:dyDescent="0.35">
      <c r="C920" s="5"/>
      <c r="D920" s="5"/>
      <c r="T920" s="6"/>
      <c r="U920" s="6"/>
      <c r="V920" s="6"/>
      <c r="W920" s="7" t="str">
        <f t="shared" si="28"/>
        <v/>
      </c>
      <c r="X920" s="8" t="str">
        <f t="shared" si="29"/>
        <v/>
      </c>
      <c r="AG920" s="9"/>
      <c r="AH920" s="10"/>
    </row>
    <row r="921" spans="3:34" x14ac:dyDescent="0.35">
      <c r="C921" s="5"/>
      <c r="D921" s="5"/>
      <c r="T921" s="6"/>
      <c r="U921" s="6"/>
      <c r="V921" s="6"/>
      <c r="W921" s="7" t="str">
        <f t="shared" si="28"/>
        <v/>
      </c>
      <c r="X921" s="8" t="str">
        <f t="shared" si="29"/>
        <v/>
      </c>
      <c r="AG921" s="9"/>
      <c r="AH921" s="10"/>
    </row>
    <row r="922" spans="3:34" x14ac:dyDescent="0.35">
      <c r="C922" s="5"/>
      <c r="D922" s="5"/>
      <c r="T922" s="6"/>
      <c r="U922" s="6"/>
      <c r="V922" s="6"/>
      <c r="W922" s="7" t="str">
        <f t="shared" si="28"/>
        <v/>
      </c>
      <c r="X922" s="8" t="str">
        <f t="shared" si="29"/>
        <v/>
      </c>
      <c r="AG922" s="9"/>
      <c r="AH922" s="10"/>
    </row>
    <row r="923" spans="3:34" x14ac:dyDescent="0.35">
      <c r="C923" s="5"/>
      <c r="D923" s="5"/>
      <c r="T923" s="6"/>
      <c r="U923" s="6"/>
      <c r="V923" s="6"/>
      <c r="W923" s="7" t="str">
        <f t="shared" si="28"/>
        <v/>
      </c>
      <c r="X923" s="8" t="str">
        <f t="shared" si="29"/>
        <v/>
      </c>
      <c r="AG923" s="9"/>
      <c r="AH923" s="10"/>
    </row>
    <row r="924" spans="3:34" x14ac:dyDescent="0.35">
      <c r="C924" s="5"/>
      <c r="D924" s="5"/>
      <c r="T924" s="6"/>
      <c r="U924" s="6"/>
      <c r="V924" s="6"/>
      <c r="W924" s="7" t="str">
        <f t="shared" si="28"/>
        <v/>
      </c>
      <c r="X924" s="8" t="str">
        <f t="shared" si="29"/>
        <v/>
      </c>
      <c r="AG924" s="9"/>
      <c r="AH924" s="10"/>
    </row>
    <row r="925" spans="3:34" x14ac:dyDescent="0.35">
      <c r="C925" s="5"/>
      <c r="D925" s="5"/>
      <c r="T925" s="6"/>
      <c r="U925" s="6"/>
      <c r="V925" s="6"/>
      <c r="W925" s="7" t="str">
        <f t="shared" si="28"/>
        <v/>
      </c>
      <c r="X925" s="8" t="str">
        <f t="shared" si="29"/>
        <v/>
      </c>
      <c r="AG925" s="9"/>
      <c r="AH925" s="10"/>
    </row>
    <row r="926" spans="3:34" x14ac:dyDescent="0.35">
      <c r="C926" s="5"/>
      <c r="D926" s="5"/>
      <c r="T926" s="6"/>
      <c r="U926" s="6"/>
      <c r="V926" s="6"/>
      <c r="W926" s="7" t="str">
        <f t="shared" si="28"/>
        <v/>
      </c>
      <c r="X926" s="8" t="str">
        <f t="shared" si="29"/>
        <v/>
      </c>
      <c r="AG926" s="9"/>
      <c r="AH926" s="10"/>
    </row>
    <row r="927" spans="3:34" x14ac:dyDescent="0.35">
      <c r="C927" s="5"/>
      <c r="D927" s="5"/>
      <c r="T927" s="6"/>
      <c r="U927" s="6"/>
      <c r="V927" s="6"/>
      <c r="W927" s="7" t="str">
        <f t="shared" si="28"/>
        <v/>
      </c>
      <c r="X927" s="8" t="str">
        <f t="shared" si="29"/>
        <v/>
      </c>
      <c r="AG927" s="9"/>
      <c r="AH927" s="10"/>
    </row>
    <row r="928" spans="3:34" x14ac:dyDescent="0.35">
      <c r="C928" s="5"/>
      <c r="D928" s="5"/>
      <c r="T928" s="6"/>
      <c r="U928" s="6"/>
      <c r="V928" s="6"/>
      <c r="W928" s="7" t="str">
        <f t="shared" si="28"/>
        <v/>
      </c>
      <c r="X928" s="8" t="str">
        <f t="shared" si="29"/>
        <v/>
      </c>
      <c r="AG928" s="9"/>
      <c r="AH928" s="10"/>
    </row>
    <row r="929" spans="3:34" x14ac:dyDescent="0.35">
      <c r="C929" s="5"/>
      <c r="D929" s="5"/>
      <c r="T929" s="6"/>
      <c r="U929" s="6"/>
      <c r="V929" s="6"/>
      <c r="W929" s="7" t="str">
        <f t="shared" si="28"/>
        <v/>
      </c>
      <c r="X929" s="8" t="str">
        <f t="shared" si="29"/>
        <v/>
      </c>
      <c r="AG929" s="9"/>
      <c r="AH929" s="10"/>
    </row>
    <row r="930" spans="3:34" x14ac:dyDescent="0.35">
      <c r="C930" s="5"/>
      <c r="D930" s="5"/>
      <c r="T930" s="6"/>
      <c r="U930" s="6"/>
      <c r="V930" s="6"/>
      <c r="W930" s="7" t="str">
        <f t="shared" si="28"/>
        <v/>
      </c>
      <c r="X930" s="8" t="str">
        <f t="shared" si="29"/>
        <v/>
      </c>
      <c r="AG930" s="9"/>
      <c r="AH930" s="10"/>
    </row>
    <row r="931" spans="3:34" x14ac:dyDescent="0.35">
      <c r="C931" s="5"/>
      <c r="D931" s="5"/>
      <c r="T931" s="6"/>
      <c r="U931" s="6"/>
      <c r="V931" s="6"/>
      <c r="W931" s="7" t="str">
        <f t="shared" si="28"/>
        <v/>
      </c>
      <c r="X931" s="8" t="str">
        <f t="shared" si="29"/>
        <v/>
      </c>
      <c r="AG931" s="9"/>
      <c r="AH931" s="10"/>
    </row>
    <row r="932" spans="3:34" x14ac:dyDescent="0.35">
      <c r="C932" s="5"/>
      <c r="D932" s="5"/>
      <c r="T932" s="6"/>
      <c r="U932" s="6"/>
      <c r="V932" s="6"/>
      <c r="W932" s="7" t="str">
        <f t="shared" si="28"/>
        <v/>
      </c>
      <c r="X932" s="8" t="str">
        <f t="shared" si="29"/>
        <v/>
      </c>
      <c r="AG932" s="9"/>
      <c r="AH932" s="10"/>
    </row>
    <row r="933" spans="3:34" x14ac:dyDescent="0.35">
      <c r="C933" s="5"/>
      <c r="D933" s="5"/>
      <c r="T933" s="6"/>
      <c r="U933" s="6"/>
      <c r="V933" s="6"/>
      <c r="W933" s="7" t="str">
        <f t="shared" si="28"/>
        <v/>
      </c>
      <c r="X933" s="8" t="str">
        <f t="shared" si="29"/>
        <v/>
      </c>
      <c r="AG933" s="9"/>
      <c r="AH933" s="10"/>
    </row>
    <row r="934" spans="3:34" x14ac:dyDescent="0.35">
      <c r="C934" s="5"/>
      <c r="D934" s="5"/>
      <c r="T934" s="6"/>
      <c r="U934" s="6"/>
      <c r="V934" s="6"/>
      <c r="W934" s="7" t="str">
        <f t="shared" si="28"/>
        <v/>
      </c>
      <c r="X934" s="8" t="str">
        <f t="shared" si="29"/>
        <v/>
      </c>
      <c r="AG934" s="9"/>
      <c r="AH934" s="10"/>
    </row>
    <row r="935" spans="3:34" x14ac:dyDescent="0.35">
      <c r="C935" s="5"/>
      <c r="D935" s="5"/>
      <c r="T935" s="6"/>
      <c r="U935" s="6"/>
      <c r="V935" s="6"/>
      <c r="W935" s="7" t="str">
        <f t="shared" si="28"/>
        <v/>
      </c>
      <c r="X935" s="8" t="str">
        <f t="shared" si="29"/>
        <v/>
      </c>
      <c r="AG935" s="9"/>
      <c r="AH935" s="10"/>
    </row>
    <row r="936" spans="3:34" x14ac:dyDescent="0.35">
      <c r="C936" s="5"/>
      <c r="D936" s="5"/>
      <c r="T936" s="6"/>
      <c r="U936" s="6"/>
      <c r="V936" s="6"/>
      <c r="W936" s="7" t="str">
        <f t="shared" si="28"/>
        <v/>
      </c>
      <c r="X936" s="8" t="str">
        <f t="shared" si="29"/>
        <v/>
      </c>
      <c r="AG936" s="9"/>
      <c r="AH936" s="10"/>
    </row>
    <row r="937" spans="3:34" x14ac:dyDescent="0.35">
      <c r="C937" s="5"/>
      <c r="D937" s="5"/>
      <c r="T937" s="6"/>
      <c r="U937" s="6"/>
      <c r="V937" s="6"/>
      <c r="W937" s="7" t="str">
        <f t="shared" si="28"/>
        <v/>
      </c>
      <c r="X937" s="8" t="str">
        <f t="shared" si="29"/>
        <v/>
      </c>
      <c r="AG937" s="9"/>
      <c r="AH937" s="10"/>
    </row>
    <row r="938" spans="3:34" x14ac:dyDescent="0.35">
      <c r="C938" s="5"/>
      <c r="D938" s="5"/>
      <c r="T938" s="6"/>
      <c r="U938" s="6"/>
      <c r="V938" s="6"/>
      <c r="W938" s="7" t="str">
        <f t="shared" si="28"/>
        <v/>
      </c>
      <c r="X938" s="8" t="str">
        <f t="shared" si="29"/>
        <v/>
      </c>
      <c r="AG938" s="9"/>
      <c r="AH938" s="10"/>
    </row>
    <row r="939" spans="3:34" x14ac:dyDescent="0.35">
      <c r="C939" s="5"/>
      <c r="D939" s="5"/>
      <c r="T939" s="6"/>
      <c r="U939" s="6"/>
      <c r="V939" s="6"/>
      <c r="W939" s="7" t="str">
        <f t="shared" si="28"/>
        <v/>
      </c>
      <c r="X939" s="8" t="str">
        <f t="shared" si="29"/>
        <v/>
      </c>
      <c r="AG939" s="9"/>
      <c r="AH939" s="10"/>
    </row>
    <row r="940" spans="3:34" x14ac:dyDescent="0.35">
      <c r="C940" s="5"/>
      <c r="D940" s="5"/>
      <c r="T940" s="6"/>
      <c r="U940" s="6"/>
      <c r="V940" s="6"/>
      <c r="W940" s="7" t="str">
        <f t="shared" si="28"/>
        <v/>
      </c>
      <c r="X940" s="8" t="str">
        <f t="shared" si="29"/>
        <v/>
      </c>
      <c r="AG940" s="9"/>
      <c r="AH940" s="10"/>
    </row>
    <row r="941" spans="3:34" x14ac:dyDescent="0.35">
      <c r="C941" s="5"/>
      <c r="D941" s="5"/>
      <c r="T941" s="6"/>
      <c r="U941" s="6"/>
      <c r="V941" s="6"/>
      <c r="W941" s="7" t="str">
        <f t="shared" si="28"/>
        <v/>
      </c>
      <c r="X941" s="8" t="str">
        <f t="shared" si="29"/>
        <v/>
      </c>
      <c r="AG941" s="9"/>
      <c r="AH941" s="10"/>
    </row>
    <row r="942" spans="3:34" x14ac:dyDescent="0.35">
      <c r="C942" s="5"/>
      <c r="D942" s="5"/>
      <c r="T942" s="6"/>
      <c r="U942" s="6"/>
      <c r="V942" s="6"/>
      <c r="W942" s="7" t="str">
        <f t="shared" si="28"/>
        <v/>
      </c>
      <c r="X942" s="8" t="str">
        <f t="shared" si="29"/>
        <v/>
      </c>
      <c r="AG942" s="9"/>
      <c r="AH942" s="10"/>
    </row>
    <row r="943" spans="3:34" x14ac:dyDescent="0.35">
      <c r="C943" s="5"/>
      <c r="D943" s="5"/>
      <c r="T943" s="6"/>
      <c r="U943" s="6"/>
      <c r="V943" s="6"/>
      <c r="W943" s="7" t="str">
        <f t="shared" si="28"/>
        <v/>
      </c>
      <c r="X943" s="8" t="str">
        <f t="shared" si="29"/>
        <v/>
      </c>
      <c r="AG943" s="9"/>
      <c r="AH943" s="10"/>
    </row>
    <row r="944" spans="3:34" x14ac:dyDescent="0.35">
      <c r="C944" s="5"/>
      <c r="D944" s="5"/>
      <c r="T944" s="6"/>
      <c r="U944" s="6"/>
      <c r="V944" s="6"/>
      <c r="W944" s="7" t="str">
        <f t="shared" si="28"/>
        <v/>
      </c>
      <c r="X944" s="8" t="str">
        <f t="shared" si="29"/>
        <v/>
      </c>
      <c r="AG944" s="9"/>
      <c r="AH944" s="10"/>
    </row>
    <row r="945" spans="3:34" x14ac:dyDescent="0.35">
      <c r="C945" s="5"/>
      <c r="D945" s="5"/>
      <c r="T945" s="6"/>
      <c r="U945" s="6"/>
      <c r="V945" s="6"/>
      <c r="W945" s="7" t="str">
        <f t="shared" si="28"/>
        <v/>
      </c>
      <c r="X945" s="8" t="str">
        <f t="shared" si="29"/>
        <v/>
      </c>
      <c r="AG945" s="9"/>
      <c r="AH945" s="10"/>
    </row>
    <row r="946" spans="3:34" x14ac:dyDescent="0.35">
      <c r="C946" s="5"/>
      <c r="D946" s="5"/>
      <c r="T946" s="6"/>
      <c r="U946" s="6"/>
      <c r="V946" s="6"/>
      <c r="W946" s="7" t="str">
        <f t="shared" si="28"/>
        <v/>
      </c>
      <c r="X946" s="8" t="str">
        <f t="shared" si="29"/>
        <v/>
      </c>
      <c r="AG946" s="9"/>
      <c r="AH946" s="10"/>
    </row>
    <row r="947" spans="3:34" x14ac:dyDescent="0.35">
      <c r="C947" s="5"/>
      <c r="D947" s="5"/>
      <c r="T947" s="6"/>
      <c r="U947" s="6"/>
      <c r="V947" s="6"/>
      <c r="W947" s="7" t="str">
        <f t="shared" si="28"/>
        <v/>
      </c>
      <c r="X947" s="8" t="str">
        <f t="shared" si="29"/>
        <v/>
      </c>
      <c r="AG947" s="9"/>
      <c r="AH947" s="10"/>
    </row>
    <row r="948" spans="3:34" x14ac:dyDescent="0.35">
      <c r="C948" s="5"/>
      <c r="D948" s="5"/>
      <c r="T948" s="6"/>
      <c r="U948" s="6"/>
      <c r="V948" s="6"/>
      <c r="W948" s="7" t="str">
        <f t="shared" si="28"/>
        <v/>
      </c>
      <c r="X948" s="8" t="str">
        <f t="shared" si="29"/>
        <v/>
      </c>
      <c r="AG948" s="9"/>
      <c r="AH948" s="10"/>
    </row>
    <row r="949" spans="3:34" x14ac:dyDescent="0.35">
      <c r="C949" s="5"/>
      <c r="D949" s="5"/>
      <c r="T949" s="6"/>
      <c r="U949" s="6"/>
      <c r="V949" s="6"/>
      <c r="W949" s="7" t="str">
        <f t="shared" si="28"/>
        <v/>
      </c>
      <c r="X949" s="8" t="str">
        <f t="shared" si="29"/>
        <v/>
      </c>
      <c r="AG949" s="9"/>
      <c r="AH949" s="10"/>
    </row>
    <row r="950" spans="3:34" x14ac:dyDescent="0.35">
      <c r="C950" s="5"/>
      <c r="D950" s="5"/>
      <c r="T950" s="6"/>
      <c r="U950" s="6"/>
      <c r="V950" s="6"/>
      <c r="W950" s="7" t="str">
        <f t="shared" si="28"/>
        <v/>
      </c>
      <c r="X950" s="8" t="str">
        <f t="shared" si="29"/>
        <v/>
      </c>
      <c r="AG950" s="9"/>
      <c r="AH950" s="10"/>
    </row>
    <row r="951" spans="3:34" x14ac:dyDescent="0.35">
      <c r="C951" s="5"/>
      <c r="D951" s="5"/>
      <c r="T951" s="6"/>
      <c r="U951" s="6"/>
      <c r="V951" s="6"/>
      <c r="W951" s="7" t="str">
        <f t="shared" si="28"/>
        <v/>
      </c>
      <c r="X951" s="8" t="str">
        <f t="shared" si="29"/>
        <v/>
      </c>
      <c r="AG951" s="9"/>
      <c r="AH951" s="10"/>
    </row>
    <row r="952" spans="3:34" x14ac:dyDescent="0.35">
      <c r="C952" s="5"/>
      <c r="D952" s="5"/>
      <c r="T952" s="6"/>
      <c r="U952" s="6"/>
      <c r="V952" s="6"/>
      <c r="W952" s="7" t="str">
        <f t="shared" si="28"/>
        <v/>
      </c>
      <c r="X952" s="8" t="str">
        <f t="shared" si="29"/>
        <v/>
      </c>
      <c r="AG952" s="9"/>
      <c r="AH952" s="10"/>
    </row>
    <row r="953" spans="3:34" x14ac:dyDescent="0.35">
      <c r="C953" s="5"/>
      <c r="D953" s="5"/>
      <c r="T953" s="6"/>
      <c r="U953" s="6"/>
      <c r="V953" s="6"/>
      <c r="W953" s="7" t="str">
        <f t="shared" si="28"/>
        <v/>
      </c>
      <c r="X953" s="8" t="str">
        <f t="shared" si="29"/>
        <v/>
      </c>
      <c r="AG953" s="9"/>
      <c r="AH953" s="10"/>
    </row>
    <row r="954" spans="3:34" x14ac:dyDescent="0.35">
      <c r="C954" s="5"/>
      <c r="D954" s="5"/>
      <c r="T954" s="6"/>
      <c r="U954" s="6"/>
      <c r="V954" s="6"/>
      <c r="W954" s="7" t="str">
        <f t="shared" si="28"/>
        <v/>
      </c>
      <c r="X954" s="8" t="str">
        <f t="shared" si="29"/>
        <v/>
      </c>
      <c r="AG954" s="9"/>
      <c r="AH954" s="10"/>
    </row>
    <row r="955" spans="3:34" x14ac:dyDescent="0.35">
      <c r="C955" s="5"/>
      <c r="D955" s="5"/>
      <c r="T955" s="6"/>
      <c r="U955" s="6"/>
      <c r="V955" s="6"/>
      <c r="W955" s="7" t="str">
        <f t="shared" si="28"/>
        <v/>
      </c>
      <c r="X955" s="8" t="str">
        <f t="shared" si="29"/>
        <v/>
      </c>
      <c r="AG955" s="9"/>
      <c r="AH955" s="10"/>
    </row>
    <row r="956" spans="3:34" x14ac:dyDescent="0.35">
      <c r="C956" s="5"/>
      <c r="D956" s="5"/>
      <c r="T956" s="6"/>
      <c r="U956" s="6"/>
      <c r="V956" s="6"/>
      <c r="W956" s="7" t="str">
        <f t="shared" si="28"/>
        <v/>
      </c>
      <c r="X956" s="8" t="str">
        <f t="shared" si="29"/>
        <v/>
      </c>
      <c r="AG956" s="9"/>
      <c r="AH956" s="10"/>
    </row>
    <row r="957" spans="3:34" x14ac:dyDescent="0.35">
      <c r="C957" s="5"/>
      <c r="D957" s="5"/>
      <c r="T957" s="6"/>
      <c r="U957" s="6"/>
      <c r="V957" s="6"/>
      <c r="W957" s="7" t="str">
        <f t="shared" si="28"/>
        <v/>
      </c>
      <c r="X957" s="8" t="str">
        <f t="shared" si="29"/>
        <v/>
      </c>
      <c r="AG957" s="9"/>
      <c r="AH957" s="10"/>
    </row>
    <row r="958" spans="3:34" x14ac:dyDescent="0.35">
      <c r="C958" s="5"/>
      <c r="D958" s="5"/>
      <c r="T958" s="6"/>
      <c r="U958" s="6"/>
      <c r="V958" s="6"/>
      <c r="W958" s="7" t="str">
        <f t="shared" si="28"/>
        <v/>
      </c>
      <c r="X958" s="8" t="str">
        <f t="shared" si="29"/>
        <v/>
      </c>
      <c r="AG958" s="9"/>
      <c r="AH958" s="10"/>
    </row>
    <row r="959" spans="3:34" x14ac:dyDescent="0.35">
      <c r="C959" s="5"/>
      <c r="D959" s="5"/>
      <c r="T959" s="6"/>
      <c r="U959" s="6"/>
      <c r="V959" s="6"/>
      <c r="W959" s="7" t="str">
        <f t="shared" si="28"/>
        <v/>
      </c>
      <c r="X959" s="8" t="str">
        <f t="shared" si="29"/>
        <v/>
      </c>
      <c r="AG959" s="9"/>
      <c r="AH959" s="10"/>
    </row>
    <row r="960" spans="3:34" x14ac:dyDescent="0.35">
      <c r="C960" s="5"/>
      <c r="D960" s="5"/>
      <c r="T960" s="6"/>
      <c r="U960" s="6"/>
      <c r="V960" s="6"/>
      <c r="W960" s="7" t="str">
        <f t="shared" si="28"/>
        <v/>
      </c>
      <c r="X960" s="8" t="str">
        <f t="shared" si="29"/>
        <v/>
      </c>
      <c r="AG960" s="9"/>
      <c r="AH960" s="10"/>
    </row>
    <row r="961" spans="3:34" x14ac:dyDescent="0.35">
      <c r="C961" s="5"/>
      <c r="D961" s="5"/>
      <c r="T961" s="6"/>
      <c r="U961" s="6"/>
      <c r="V961" s="6"/>
      <c r="W961" s="7" t="str">
        <f t="shared" si="28"/>
        <v/>
      </c>
      <c r="X961" s="8" t="str">
        <f t="shared" si="29"/>
        <v/>
      </c>
      <c r="AG961" s="9"/>
      <c r="AH961" s="10"/>
    </row>
    <row r="962" spans="3:34" x14ac:dyDescent="0.35">
      <c r="C962" s="5"/>
      <c r="D962" s="5"/>
      <c r="T962" s="6"/>
      <c r="U962" s="6"/>
      <c r="V962" s="6"/>
      <c r="W962" s="7" t="str">
        <f t="shared" ref="W962:W1025" si="30">IF($U962&gt;0,$U962-$V962,"")</f>
        <v/>
      </c>
      <c r="X962" s="8" t="str">
        <f t="shared" ref="X962:X1025" si="31">IF($U962&gt;0,($U962-$V962)/$U962,"")</f>
        <v/>
      </c>
      <c r="AG962" s="9"/>
      <c r="AH962" s="10"/>
    </row>
    <row r="963" spans="3:34" x14ac:dyDescent="0.35">
      <c r="C963" s="5"/>
      <c r="D963" s="5"/>
      <c r="T963" s="6"/>
      <c r="U963" s="6"/>
      <c r="V963" s="6"/>
      <c r="W963" s="7" t="str">
        <f t="shared" si="30"/>
        <v/>
      </c>
      <c r="X963" s="8" t="str">
        <f t="shared" si="31"/>
        <v/>
      </c>
      <c r="AG963" s="9"/>
      <c r="AH963" s="10"/>
    </row>
    <row r="964" spans="3:34" x14ac:dyDescent="0.35">
      <c r="C964" s="5"/>
      <c r="D964" s="5"/>
      <c r="T964" s="6"/>
      <c r="U964" s="6"/>
      <c r="V964" s="6"/>
      <c r="W964" s="7" t="str">
        <f t="shared" si="30"/>
        <v/>
      </c>
      <c r="X964" s="8" t="str">
        <f t="shared" si="31"/>
        <v/>
      </c>
      <c r="AG964" s="9"/>
      <c r="AH964" s="10"/>
    </row>
    <row r="965" spans="3:34" x14ac:dyDescent="0.35">
      <c r="C965" s="5"/>
      <c r="D965" s="5"/>
      <c r="T965" s="6"/>
      <c r="U965" s="6"/>
      <c r="V965" s="6"/>
      <c r="W965" s="7" t="str">
        <f t="shared" si="30"/>
        <v/>
      </c>
      <c r="X965" s="8" t="str">
        <f t="shared" si="31"/>
        <v/>
      </c>
      <c r="AG965" s="9"/>
      <c r="AH965" s="10"/>
    </row>
    <row r="966" spans="3:34" x14ac:dyDescent="0.35">
      <c r="C966" s="5"/>
      <c r="D966" s="5"/>
      <c r="T966" s="6"/>
      <c r="U966" s="6"/>
      <c r="V966" s="6"/>
      <c r="W966" s="7" t="str">
        <f t="shared" si="30"/>
        <v/>
      </c>
      <c r="X966" s="8" t="str">
        <f t="shared" si="31"/>
        <v/>
      </c>
      <c r="AG966" s="9"/>
      <c r="AH966" s="10"/>
    </row>
    <row r="967" spans="3:34" x14ac:dyDescent="0.35">
      <c r="C967" s="5"/>
      <c r="D967" s="5"/>
      <c r="T967" s="6"/>
      <c r="U967" s="6"/>
      <c r="V967" s="6"/>
      <c r="W967" s="7" t="str">
        <f t="shared" si="30"/>
        <v/>
      </c>
      <c r="X967" s="8" t="str">
        <f t="shared" si="31"/>
        <v/>
      </c>
      <c r="AG967" s="9"/>
      <c r="AH967" s="10"/>
    </row>
    <row r="968" spans="3:34" x14ac:dyDescent="0.35">
      <c r="C968" s="5"/>
      <c r="D968" s="5"/>
      <c r="T968" s="6"/>
      <c r="U968" s="6"/>
      <c r="V968" s="6"/>
      <c r="W968" s="7" t="str">
        <f t="shared" si="30"/>
        <v/>
      </c>
      <c r="X968" s="8" t="str">
        <f t="shared" si="31"/>
        <v/>
      </c>
      <c r="AG968" s="9"/>
      <c r="AH968" s="10"/>
    </row>
    <row r="969" spans="3:34" x14ac:dyDescent="0.35">
      <c r="C969" s="5"/>
      <c r="D969" s="5"/>
      <c r="T969" s="6"/>
      <c r="U969" s="6"/>
      <c r="V969" s="6"/>
      <c r="W969" s="7" t="str">
        <f t="shared" si="30"/>
        <v/>
      </c>
      <c r="X969" s="8" t="str">
        <f t="shared" si="31"/>
        <v/>
      </c>
      <c r="AG969" s="9"/>
      <c r="AH969" s="10"/>
    </row>
    <row r="970" spans="3:34" x14ac:dyDescent="0.35">
      <c r="C970" s="5"/>
      <c r="D970" s="5"/>
      <c r="T970" s="6"/>
      <c r="U970" s="6"/>
      <c r="V970" s="6"/>
      <c r="W970" s="7" t="str">
        <f t="shared" si="30"/>
        <v/>
      </c>
      <c r="X970" s="8" t="str">
        <f t="shared" si="31"/>
        <v/>
      </c>
      <c r="AG970" s="9"/>
      <c r="AH970" s="10"/>
    </row>
    <row r="971" spans="3:34" x14ac:dyDescent="0.35">
      <c r="C971" s="5"/>
      <c r="D971" s="5"/>
      <c r="T971" s="6"/>
      <c r="U971" s="6"/>
      <c r="V971" s="6"/>
      <c r="W971" s="7" t="str">
        <f t="shared" si="30"/>
        <v/>
      </c>
      <c r="X971" s="8" t="str">
        <f t="shared" si="31"/>
        <v/>
      </c>
      <c r="AG971" s="9"/>
      <c r="AH971" s="10"/>
    </row>
    <row r="972" spans="3:34" x14ac:dyDescent="0.35">
      <c r="C972" s="5"/>
      <c r="D972" s="5"/>
      <c r="T972" s="6"/>
      <c r="U972" s="6"/>
      <c r="V972" s="6"/>
      <c r="W972" s="7" t="str">
        <f t="shared" si="30"/>
        <v/>
      </c>
      <c r="X972" s="8" t="str">
        <f t="shared" si="31"/>
        <v/>
      </c>
      <c r="AG972" s="9"/>
      <c r="AH972" s="10"/>
    </row>
    <row r="973" spans="3:34" x14ac:dyDescent="0.35">
      <c r="C973" s="5"/>
      <c r="D973" s="5"/>
      <c r="T973" s="6"/>
      <c r="U973" s="6"/>
      <c r="V973" s="6"/>
      <c r="W973" s="7" t="str">
        <f t="shared" si="30"/>
        <v/>
      </c>
      <c r="X973" s="8" t="str">
        <f t="shared" si="31"/>
        <v/>
      </c>
      <c r="AG973" s="9"/>
      <c r="AH973" s="10"/>
    </row>
    <row r="974" spans="3:34" x14ac:dyDescent="0.35">
      <c r="C974" s="5"/>
      <c r="D974" s="5"/>
      <c r="T974" s="6"/>
      <c r="U974" s="6"/>
      <c r="V974" s="6"/>
      <c r="W974" s="7" t="str">
        <f t="shared" si="30"/>
        <v/>
      </c>
      <c r="X974" s="8" t="str">
        <f t="shared" si="31"/>
        <v/>
      </c>
      <c r="AG974" s="9"/>
      <c r="AH974" s="10"/>
    </row>
    <row r="975" spans="3:34" x14ac:dyDescent="0.35">
      <c r="C975" s="5"/>
      <c r="D975" s="5"/>
      <c r="T975" s="6"/>
      <c r="U975" s="6"/>
      <c r="V975" s="6"/>
      <c r="W975" s="7" t="str">
        <f t="shared" si="30"/>
        <v/>
      </c>
      <c r="X975" s="8" t="str">
        <f t="shared" si="31"/>
        <v/>
      </c>
      <c r="AG975" s="9"/>
      <c r="AH975" s="10"/>
    </row>
    <row r="976" spans="3:34" x14ac:dyDescent="0.35">
      <c r="C976" s="5"/>
      <c r="D976" s="5"/>
      <c r="T976" s="6"/>
      <c r="U976" s="6"/>
      <c r="V976" s="6"/>
      <c r="W976" s="7" t="str">
        <f t="shared" si="30"/>
        <v/>
      </c>
      <c r="X976" s="8" t="str">
        <f t="shared" si="31"/>
        <v/>
      </c>
      <c r="AG976" s="9"/>
      <c r="AH976" s="10"/>
    </row>
    <row r="977" spans="3:34" x14ac:dyDescent="0.35">
      <c r="C977" s="5"/>
      <c r="D977" s="5"/>
      <c r="T977" s="6"/>
      <c r="U977" s="6"/>
      <c r="V977" s="6"/>
      <c r="W977" s="7" t="str">
        <f t="shared" si="30"/>
        <v/>
      </c>
      <c r="X977" s="8" t="str">
        <f t="shared" si="31"/>
        <v/>
      </c>
      <c r="AG977" s="9"/>
      <c r="AH977" s="10"/>
    </row>
    <row r="978" spans="3:34" x14ac:dyDescent="0.35">
      <c r="C978" s="5"/>
      <c r="D978" s="5"/>
      <c r="T978" s="6"/>
      <c r="U978" s="6"/>
      <c r="V978" s="6"/>
      <c r="W978" s="7" t="str">
        <f t="shared" si="30"/>
        <v/>
      </c>
      <c r="X978" s="8" t="str">
        <f t="shared" si="31"/>
        <v/>
      </c>
      <c r="AG978" s="9"/>
      <c r="AH978" s="10"/>
    </row>
    <row r="979" spans="3:34" x14ac:dyDescent="0.35">
      <c r="C979" s="5"/>
      <c r="D979" s="5"/>
      <c r="T979" s="6"/>
      <c r="U979" s="6"/>
      <c r="V979" s="6"/>
      <c r="W979" s="7" t="str">
        <f t="shared" si="30"/>
        <v/>
      </c>
      <c r="X979" s="8" t="str">
        <f t="shared" si="31"/>
        <v/>
      </c>
      <c r="AG979" s="9"/>
      <c r="AH979" s="10"/>
    </row>
    <row r="980" spans="3:34" x14ac:dyDescent="0.35">
      <c r="C980" s="5"/>
      <c r="D980" s="5"/>
      <c r="T980" s="6"/>
      <c r="U980" s="6"/>
      <c r="V980" s="6"/>
      <c r="W980" s="7" t="str">
        <f t="shared" si="30"/>
        <v/>
      </c>
      <c r="X980" s="8" t="str">
        <f t="shared" si="31"/>
        <v/>
      </c>
      <c r="AG980" s="9"/>
      <c r="AH980" s="10"/>
    </row>
    <row r="981" spans="3:34" x14ac:dyDescent="0.35">
      <c r="C981" s="5"/>
      <c r="D981" s="5"/>
      <c r="T981" s="6"/>
      <c r="U981" s="6"/>
      <c r="V981" s="6"/>
      <c r="W981" s="7" t="str">
        <f t="shared" si="30"/>
        <v/>
      </c>
      <c r="X981" s="8" t="str">
        <f t="shared" si="31"/>
        <v/>
      </c>
      <c r="AG981" s="9"/>
      <c r="AH981" s="10"/>
    </row>
    <row r="982" spans="3:34" x14ac:dyDescent="0.35">
      <c r="C982" s="5"/>
      <c r="D982" s="5"/>
      <c r="T982" s="6"/>
      <c r="U982" s="6"/>
      <c r="V982" s="6"/>
      <c r="W982" s="7" t="str">
        <f t="shared" si="30"/>
        <v/>
      </c>
      <c r="X982" s="8" t="str">
        <f t="shared" si="31"/>
        <v/>
      </c>
      <c r="AG982" s="9"/>
      <c r="AH982" s="10"/>
    </row>
    <row r="983" spans="3:34" x14ac:dyDescent="0.35">
      <c r="C983" s="5"/>
      <c r="D983" s="5"/>
      <c r="T983" s="6"/>
      <c r="U983" s="6"/>
      <c r="V983" s="6"/>
      <c r="W983" s="7" t="str">
        <f t="shared" si="30"/>
        <v/>
      </c>
      <c r="X983" s="8" t="str">
        <f t="shared" si="31"/>
        <v/>
      </c>
      <c r="AG983" s="9"/>
      <c r="AH983" s="10"/>
    </row>
    <row r="984" spans="3:34" x14ac:dyDescent="0.35">
      <c r="C984" s="5"/>
      <c r="D984" s="5"/>
      <c r="T984" s="6"/>
      <c r="U984" s="6"/>
      <c r="V984" s="6"/>
      <c r="W984" s="7" t="str">
        <f t="shared" si="30"/>
        <v/>
      </c>
      <c r="X984" s="8" t="str">
        <f t="shared" si="31"/>
        <v/>
      </c>
      <c r="AG984" s="9"/>
      <c r="AH984" s="10"/>
    </row>
    <row r="985" spans="3:34" x14ac:dyDescent="0.35">
      <c r="C985" s="5"/>
      <c r="D985" s="5"/>
      <c r="T985" s="6"/>
      <c r="U985" s="6"/>
      <c r="V985" s="6"/>
      <c r="W985" s="7" t="str">
        <f t="shared" si="30"/>
        <v/>
      </c>
      <c r="X985" s="8" t="str">
        <f t="shared" si="31"/>
        <v/>
      </c>
      <c r="AG985" s="9"/>
      <c r="AH985" s="10"/>
    </row>
    <row r="986" spans="3:34" x14ac:dyDescent="0.35">
      <c r="C986" s="5"/>
      <c r="D986" s="5"/>
      <c r="T986" s="6"/>
      <c r="U986" s="6"/>
      <c r="V986" s="6"/>
      <c r="W986" s="7" t="str">
        <f t="shared" si="30"/>
        <v/>
      </c>
      <c r="X986" s="8" t="str">
        <f t="shared" si="31"/>
        <v/>
      </c>
      <c r="AG986" s="9"/>
      <c r="AH986" s="10"/>
    </row>
    <row r="987" spans="3:34" x14ac:dyDescent="0.35">
      <c r="C987" s="5"/>
      <c r="D987" s="5"/>
      <c r="T987" s="6"/>
      <c r="U987" s="6"/>
      <c r="V987" s="6"/>
      <c r="W987" s="7" t="str">
        <f t="shared" si="30"/>
        <v/>
      </c>
      <c r="X987" s="8" t="str">
        <f t="shared" si="31"/>
        <v/>
      </c>
      <c r="AG987" s="9"/>
      <c r="AH987" s="10"/>
    </row>
    <row r="988" spans="3:34" x14ac:dyDescent="0.35">
      <c r="C988" s="5"/>
      <c r="D988" s="5"/>
      <c r="T988" s="6"/>
      <c r="U988" s="6"/>
      <c r="V988" s="6"/>
      <c r="W988" s="7" t="str">
        <f t="shared" si="30"/>
        <v/>
      </c>
      <c r="X988" s="8" t="str">
        <f t="shared" si="31"/>
        <v/>
      </c>
      <c r="AG988" s="9"/>
      <c r="AH988" s="10"/>
    </row>
    <row r="989" spans="3:34" x14ac:dyDescent="0.35">
      <c r="C989" s="5"/>
      <c r="D989" s="5"/>
      <c r="T989" s="6"/>
      <c r="U989" s="6"/>
      <c r="V989" s="6"/>
      <c r="W989" s="7" t="str">
        <f t="shared" si="30"/>
        <v/>
      </c>
      <c r="X989" s="8" t="str">
        <f t="shared" si="31"/>
        <v/>
      </c>
      <c r="AG989" s="9"/>
      <c r="AH989" s="10"/>
    </row>
    <row r="990" spans="3:34" x14ac:dyDescent="0.35">
      <c r="C990" s="5"/>
      <c r="D990" s="5"/>
      <c r="T990" s="6"/>
      <c r="U990" s="6"/>
      <c r="V990" s="6"/>
      <c r="W990" s="7" t="str">
        <f t="shared" si="30"/>
        <v/>
      </c>
      <c r="X990" s="8" t="str">
        <f t="shared" si="31"/>
        <v/>
      </c>
      <c r="AG990" s="9"/>
      <c r="AH990" s="10"/>
    </row>
    <row r="991" spans="3:34" x14ac:dyDescent="0.35">
      <c r="C991" s="5"/>
      <c r="D991" s="5"/>
      <c r="T991" s="6"/>
      <c r="U991" s="6"/>
      <c r="V991" s="6"/>
      <c r="W991" s="7" t="str">
        <f t="shared" si="30"/>
        <v/>
      </c>
      <c r="X991" s="8" t="str">
        <f t="shared" si="31"/>
        <v/>
      </c>
      <c r="AG991" s="9"/>
      <c r="AH991" s="10"/>
    </row>
    <row r="992" spans="3:34" x14ac:dyDescent="0.35">
      <c r="C992" s="5"/>
      <c r="D992" s="5"/>
      <c r="T992" s="6"/>
      <c r="U992" s="6"/>
      <c r="V992" s="6"/>
      <c r="W992" s="7" t="str">
        <f t="shared" si="30"/>
        <v/>
      </c>
      <c r="X992" s="8" t="str">
        <f t="shared" si="31"/>
        <v/>
      </c>
      <c r="AG992" s="9"/>
      <c r="AH992" s="10"/>
    </row>
    <row r="993" spans="3:34" x14ac:dyDescent="0.35">
      <c r="C993" s="5"/>
      <c r="D993" s="5"/>
      <c r="T993" s="6"/>
      <c r="U993" s="6"/>
      <c r="V993" s="6"/>
      <c r="W993" s="7" t="str">
        <f t="shared" si="30"/>
        <v/>
      </c>
      <c r="X993" s="8" t="str">
        <f t="shared" si="31"/>
        <v/>
      </c>
      <c r="AG993" s="9"/>
      <c r="AH993" s="10"/>
    </row>
    <row r="994" spans="3:34" x14ac:dyDescent="0.35">
      <c r="C994" s="5"/>
      <c r="D994" s="5"/>
      <c r="T994" s="6"/>
      <c r="U994" s="6"/>
      <c r="V994" s="6"/>
      <c r="W994" s="7" t="str">
        <f t="shared" si="30"/>
        <v/>
      </c>
      <c r="X994" s="8" t="str">
        <f t="shared" si="31"/>
        <v/>
      </c>
      <c r="AG994" s="9"/>
      <c r="AH994" s="10"/>
    </row>
    <row r="995" spans="3:34" x14ac:dyDescent="0.35">
      <c r="C995" s="5"/>
      <c r="D995" s="5"/>
      <c r="T995" s="6"/>
      <c r="U995" s="6"/>
      <c r="V995" s="6"/>
      <c r="W995" s="7" t="str">
        <f t="shared" si="30"/>
        <v/>
      </c>
      <c r="X995" s="8" t="str">
        <f t="shared" si="31"/>
        <v/>
      </c>
      <c r="AG995" s="9"/>
      <c r="AH995" s="10"/>
    </row>
    <row r="996" spans="3:34" x14ac:dyDescent="0.35">
      <c r="C996" s="5"/>
      <c r="D996" s="5"/>
      <c r="T996" s="6"/>
      <c r="U996" s="6"/>
      <c r="V996" s="6"/>
      <c r="W996" s="7" t="str">
        <f t="shared" si="30"/>
        <v/>
      </c>
      <c r="X996" s="8" t="str">
        <f t="shared" si="31"/>
        <v/>
      </c>
      <c r="AG996" s="9"/>
      <c r="AH996" s="10"/>
    </row>
    <row r="997" spans="3:34" x14ac:dyDescent="0.35">
      <c r="C997" s="5"/>
      <c r="D997" s="5"/>
      <c r="T997" s="6"/>
      <c r="U997" s="6"/>
      <c r="V997" s="6"/>
      <c r="W997" s="7" t="str">
        <f t="shared" si="30"/>
        <v/>
      </c>
      <c r="X997" s="8" t="str">
        <f t="shared" si="31"/>
        <v/>
      </c>
      <c r="AG997" s="9"/>
      <c r="AH997" s="10"/>
    </row>
    <row r="998" spans="3:34" x14ac:dyDescent="0.35">
      <c r="C998" s="5"/>
      <c r="D998" s="5"/>
      <c r="T998" s="6"/>
      <c r="U998" s="6"/>
      <c r="V998" s="6"/>
      <c r="W998" s="7" t="str">
        <f t="shared" si="30"/>
        <v/>
      </c>
      <c r="X998" s="8" t="str">
        <f t="shared" si="31"/>
        <v/>
      </c>
      <c r="AG998" s="9"/>
      <c r="AH998" s="10"/>
    </row>
    <row r="999" spans="3:34" x14ac:dyDescent="0.35">
      <c r="C999" s="5"/>
      <c r="D999" s="5"/>
      <c r="T999" s="6"/>
      <c r="U999" s="6"/>
      <c r="V999" s="6"/>
      <c r="W999" s="7" t="str">
        <f t="shared" si="30"/>
        <v/>
      </c>
      <c r="X999" s="8" t="str">
        <f t="shared" si="31"/>
        <v/>
      </c>
      <c r="AG999" s="9"/>
      <c r="AH999" s="10"/>
    </row>
    <row r="1000" spans="3:34" x14ac:dyDescent="0.35">
      <c r="C1000" s="5"/>
      <c r="D1000" s="5"/>
      <c r="T1000" s="6"/>
      <c r="U1000" s="6"/>
      <c r="V1000" s="6"/>
      <c r="W1000" s="7" t="str">
        <f t="shared" si="30"/>
        <v/>
      </c>
      <c r="X1000" s="8" t="str">
        <f t="shared" si="31"/>
        <v/>
      </c>
      <c r="AG1000" s="9"/>
      <c r="AH1000" s="10"/>
    </row>
    <row r="1001" spans="3:34" x14ac:dyDescent="0.35">
      <c r="C1001" s="5"/>
      <c r="D1001" s="5"/>
      <c r="T1001" s="6"/>
      <c r="U1001" s="6"/>
      <c r="V1001" s="6"/>
      <c r="W1001" s="7" t="str">
        <f t="shared" si="30"/>
        <v/>
      </c>
      <c r="X1001" s="8" t="str">
        <f t="shared" si="31"/>
        <v/>
      </c>
      <c r="AG1001" s="9"/>
      <c r="AH1001" s="10"/>
    </row>
    <row r="1002" spans="3:34" x14ac:dyDescent="0.35">
      <c r="C1002" s="5"/>
      <c r="D1002" s="5"/>
      <c r="T1002" s="6"/>
      <c r="U1002" s="6"/>
      <c r="V1002" s="6"/>
      <c r="W1002" s="7" t="str">
        <f t="shared" si="30"/>
        <v/>
      </c>
      <c r="X1002" s="8" t="str">
        <f t="shared" si="31"/>
        <v/>
      </c>
      <c r="AG1002" s="9"/>
      <c r="AH1002" s="10"/>
    </row>
    <row r="1003" spans="3:34" x14ac:dyDescent="0.35">
      <c r="C1003" s="5"/>
      <c r="D1003" s="5"/>
      <c r="T1003" s="6"/>
      <c r="U1003" s="6"/>
      <c r="V1003" s="6"/>
      <c r="W1003" s="7" t="str">
        <f t="shared" si="30"/>
        <v/>
      </c>
      <c r="X1003" s="8" t="str">
        <f t="shared" si="31"/>
        <v/>
      </c>
      <c r="AG1003" s="9"/>
      <c r="AH1003" s="10"/>
    </row>
    <row r="1004" spans="3:34" x14ac:dyDescent="0.35">
      <c r="C1004" s="5"/>
      <c r="D1004" s="5"/>
      <c r="T1004" s="6"/>
      <c r="U1004" s="6"/>
      <c r="V1004" s="6"/>
      <c r="W1004" s="7" t="str">
        <f t="shared" si="30"/>
        <v/>
      </c>
      <c r="X1004" s="8" t="str">
        <f t="shared" si="31"/>
        <v/>
      </c>
      <c r="AG1004" s="9"/>
      <c r="AH1004" s="10"/>
    </row>
    <row r="1005" spans="3:34" x14ac:dyDescent="0.35">
      <c r="C1005" s="5"/>
      <c r="D1005" s="5"/>
      <c r="T1005" s="6"/>
      <c r="U1005" s="6"/>
      <c r="V1005" s="6"/>
      <c r="W1005" s="7" t="str">
        <f t="shared" si="30"/>
        <v/>
      </c>
      <c r="X1005" s="8" t="str">
        <f t="shared" si="31"/>
        <v/>
      </c>
      <c r="AG1005" s="9"/>
      <c r="AH1005" s="10"/>
    </row>
    <row r="1006" spans="3:34" x14ac:dyDescent="0.35">
      <c r="C1006" s="5"/>
      <c r="D1006" s="5"/>
      <c r="T1006" s="6"/>
      <c r="U1006" s="6"/>
      <c r="V1006" s="6"/>
      <c r="W1006" s="7" t="str">
        <f t="shared" si="30"/>
        <v/>
      </c>
      <c r="X1006" s="8" t="str">
        <f t="shared" si="31"/>
        <v/>
      </c>
      <c r="AG1006" s="9"/>
      <c r="AH1006" s="10"/>
    </row>
    <row r="1007" spans="3:34" x14ac:dyDescent="0.35">
      <c r="C1007" s="5"/>
      <c r="D1007" s="5"/>
      <c r="T1007" s="6"/>
      <c r="U1007" s="6"/>
      <c r="V1007" s="6"/>
      <c r="W1007" s="7" t="str">
        <f t="shared" si="30"/>
        <v/>
      </c>
      <c r="X1007" s="8" t="str">
        <f t="shared" si="31"/>
        <v/>
      </c>
      <c r="AG1007" s="9"/>
      <c r="AH1007" s="10"/>
    </row>
    <row r="1008" spans="3:34" x14ac:dyDescent="0.35">
      <c r="C1008" s="5"/>
      <c r="D1008" s="5"/>
      <c r="T1008" s="6"/>
      <c r="U1008" s="6"/>
      <c r="V1008" s="6"/>
      <c r="W1008" s="7" t="str">
        <f t="shared" si="30"/>
        <v/>
      </c>
      <c r="X1008" s="8" t="str">
        <f t="shared" si="31"/>
        <v/>
      </c>
      <c r="AG1008" s="9"/>
      <c r="AH1008" s="10"/>
    </row>
    <row r="1009" spans="3:34" x14ac:dyDescent="0.35">
      <c r="C1009" s="5"/>
      <c r="D1009" s="5"/>
      <c r="T1009" s="6"/>
      <c r="U1009" s="6"/>
      <c r="V1009" s="6"/>
      <c r="W1009" s="7" t="str">
        <f t="shared" si="30"/>
        <v/>
      </c>
      <c r="X1009" s="8" t="str">
        <f t="shared" si="31"/>
        <v/>
      </c>
      <c r="AG1009" s="9"/>
      <c r="AH1009" s="10"/>
    </row>
    <row r="1010" spans="3:34" x14ac:dyDescent="0.35">
      <c r="C1010" s="5"/>
      <c r="D1010" s="5"/>
      <c r="T1010" s="6"/>
      <c r="U1010" s="6"/>
      <c r="V1010" s="6"/>
      <c r="W1010" s="7" t="str">
        <f t="shared" si="30"/>
        <v/>
      </c>
      <c r="X1010" s="8" t="str">
        <f t="shared" si="31"/>
        <v/>
      </c>
      <c r="AG1010" s="9"/>
      <c r="AH1010" s="10"/>
    </row>
    <row r="1011" spans="3:34" x14ac:dyDescent="0.35">
      <c r="C1011" s="5"/>
      <c r="D1011" s="5"/>
      <c r="T1011" s="6"/>
      <c r="U1011" s="6"/>
      <c r="V1011" s="6"/>
      <c r="W1011" s="7" t="str">
        <f t="shared" si="30"/>
        <v/>
      </c>
      <c r="X1011" s="8" t="str">
        <f t="shared" si="31"/>
        <v/>
      </c>
      <c r="AG1011" s="9"/>
      <c r="AH1011" s="10"/>
    </row>
    <row r="1012" spans="3:34" x14ac:dyDescent="0.35">
      <c r="C1012" s="5"/>
      <c r="D1012" s="5"/>
      <c r="T1012" s="6"/>
      <c r="U1012" s="6"/>
      <c r="V1012" s="6"/>
      <c r="W1012" s="7" t="str">
        <f t="shared" si="30"/>
        <v/>
      </c>
      <c r="X1012" s="8" t="str">
        <f t="shared" si="31"/>
        <v/>
      </c>
      <c r="AG1012" s="9"/>
      <c r="AH1012" s="10"/>
    </row>
    <row r="1013" spans="3:34" x14ac:dyDescent="0.35">
      <c r="C1013" s="5"/>
      <c r="D1013" s="5"/>
      <c r="T1013" s="6"/>
      <c r="U1013" s="6"/>
      <c r="V1013" s="6"/>
      <c r="W1013" s="7" t="str">
        <f t="shared" si="30"/>
        <v/>
      </c>
      <c r="X1013" s="8" t="str">
        <f t="shared" si="31"/>
        <v/>
      </c>
      <c r="AG1013" s="9"/>
      <c r="AH1013" s="10"/>
    </row>
    <row r="1014" spans="3:34" x14ac:dyDescent="0.35">
      <c r="C1014" s="5"/>
      <c r="D1014" s="5"/>
      <c r="T1014" s="6"/>
      <c r="U1014" s="6"/>
      <c r="V1014" s="6"/>
      <c r="W1014" s="7" t="str">
        <f t="shared" si="30"/>
        <v/>
      </c>
      <c r="X1014" s="8" t="str">
        <f t="shared" si="31"/>
        <v/>
      </c>
      <c r="AG1014" s="9"/>
      <c r="AH1014" s="10"/>
    </row>
    <row r="1015" spans="3:34" x14ac:dyDescent="0.35">
      <c r="C1015" s="5"/>
      <c r="D1015" s="5"/>
      <c r="T1015" s="6"/>
      <c r="U1015" s="6"/>
      <c r="V1015" s="6"/>
      <c r="W1015" s="7" t="str">
        <f t="shared" si="30"/>
        <v/>
      </c>
      <c r="X1015" s="8" t="str">
        <f t="shared" si="31"/>
        <v/>
      </c>
      <c r="AG1015" s="9"/>
      <c r="AH1015" s="10"/>
    </row>
    <row r="1016" spans="3:34" x14ac:dyDescent="0.35">
      <c r="C1016" s="5"/>
      <c r="D1016" s="5"/>
      <c r="T1016" s="6"/>
      <c r="U1016" s="6"/>
      <c r="V1016" s="6"/>
      <c r="W1016" s="7" t="str">
        <f t="shared" si="30"/>
        <v/>
      </c>
      <c r="X1016" s="8" t="str">
        <f t="shared" si="31"/>
        <v/>
      </c>
      <c r="AG1016" s="9"/>
      <c r="AH1016" s="10"/>
    </row>
    <row r="1017" spans="3:34" x14ac:dyDescent="0.35">
      <c r="C1017" s="5"/>
      <c r="D1017" s="5"/>
      <c r="T1017" s="6"/>
      <c r="U1017" s="6"/>
      <c r="V1017" s="6"/>
      <c r="W1017" s="7" t="str">
        <f t="shared" si="30"/>
        <v/>
      </c>
      <c r="X1017" s="8" t="str">
        <f t="shared" si="31"/>
        <v/>
      </c>
      <c r="AG1017" s="9"/>
      <c r="AH1017" s="10"/>
    </row>
    <row r="1018" spans="3:34" x14ac:dyDescent="0.35">
      <c r="C1018" s="5"/>
      <c r="D1018" s="5"/>
      <c r="T1018" s="6"/>
      <c r="U1018" s="6"/>
      <c r="V1018" s="6"/>
      <c r="W1018" s="7" t="str">
        <f t="shared" si="30"/>
        <v/>
      </c>
      <c r="X1018" s="8" t="str">
        <f t="shared" si="31"/>
        <v/>
      </c>
      <c r="AG1018" s="9"/>
      <c r="AH1018" s="10"/>
    </row>
    <row r="1019" spans="3:34" x14ac:dyDescent="0.35">
      <c r="C1019" s="5"/>
      <c r="D1019" s="5"/>
      <c r="T1019" s="6"/>
      <c r="U1019" s="6"/>
      <c r="V1019" s="6"/>
      <c r="W1019" s="7" t="str">
        <f t="shared" si="30"/>
        <v/>
      </c>
      <c r="X1019" s="8" t="str">
        <f t="shared" si="31"/>
        <v/>
      </c>
      <c r="AG1019" s="9"/>
      <c r="AH1019" s="10"/>
    </row>
    <row r="1020" spans="3:34" x14ac:dyDescent="0.35">
      <c r="C1020" s="5"/>
      <c r="D1020" s="5"/>
      <c r="T1020" s="6"/>
      <c r="U1020" s="6"/>
      <c r="V1020" s="6"/>
      <c r="W1020" s="7" t="str">
        <f t="shared" si="30"/>
        <v/>
      </c>
      <c r="X1020" s="8" t="str">
        <f t="shared" si="31"/>
        <v/>
      </c>
      <c r="AG1020" s="9"/>
      <c r="AH1020" s="10"/>
    </row>
    <row r="1021" spans="3:34" x14ac:dyDescent="0.35">
      <c r="C1021" s="5"/>
      <c r="D1021" s="5"/>
      <c r="T1021" s="6"/>
      <c r="U1021" s="6"/>
      <c r="V1021" s="6"/>
      <c r="W1021" s="7" t="str">
        <f t="shared" si="30"/>
        <v/>
      </c>
      <c r="X1021" s="8" t="str">
        <f t="shared" si="31"/>
        <v/>
      </c>
      <c r="AG1021" s="9"/>
      <c r="AH1021" s="10"/>
    </row>
    <row r="1022" spans="3:34" x14ac:dyDescent="0.35">
      <c r="C1022" s="5"/>
      <c r="D1022" s="5"/>
      <c r="T1022" s="6"/>
      <c r="U1022" s="6"/>
      <c r="V1022" s="6"/>
      <c r="W1022" s="7" t="str">
        <f t="shared" si="30"/>
        <v/>
      </c>
      <c r="X1022" s="8" t="str">
        <f t="shared" si="31"/>
        <v/>
      </c>
      <c r="AG1022" s="9"/>
      <c r="AH1022" s="10"/>
    </row>
    <row r="1023" spans="3:34" x14ac:dyDescent="0.35">
      <c r="C1023" s="5"/>
      <c r="D1023" s="5"/>
      <c r="T1023" s="6"/>
      <c r="U1023" s="6"/>
      <c r="V1023" s="6"/>
      <c r="W1023" s="7" t="str">
        <f t="shared" si="30"/>
        <v/>
      </c>
      <c r="X1023" s="8" t="str">
        <f t="shared" si="31"/>
        <v/>
      </c>
      <c r="AG1023" s="9"/>
      <c r="AH1023" s="10"/>
    </row>
    <row r="1024" spans="3:34" x14ac:dyDescent="0.35">
      <c r="C1024" s="5"/>
      <c r="D1024" s="5"/>
      <c r="T1024" s="6"/>
      <c r="U1024" s="6"/>
      <c r="V1024" s="6"/>
      <c r="W1024" s="7" t="str">
        <f t="shared" si="30"/>
        <v/>
      </c>
      <c r="X1024" s="8" t="str">
        <f t="shared" si="31"/>
        <v/>
      </c>
      <c r="AG1024" s="9"/>
      <c r="AH1024" s="10"/>
    </row>
    <row r="1025" spans="3:34" x14ac:dyDescent="0.35">
      <c r="C1025" s="5"/>
      <c r="D1025" s="5"/>
      <c r="T1025" s="6"/>
      <c r="U1025" s="6"/>
      <c r="V1025" s="6"/>
      <c r="W1025" s="7" t="str">
        <f t="shared" si="30"/>
        <v/>
      </c>
      <c r="X1025" s="8" t="str">
        <f t="shared" si="31"/>
        <v/>
      </c>
      <c r="AG1025" s="9"/>
      <c r="AH1025" s="10"/>
    </row>
    <row r="1026" spans="3:34" x14ac:dyDescent="0.35">
      <c r="C1026" s="5"/>
      <c r="D1026" s="5"/>
      <c r="T1026" s="6"/>
      <c r="U1026" s="6"/>
      <c r="V1026" s="6"/>
      <c r="W1026" s="7" t="str">
        <f t="shared" ref="W1026:W1089" si="32">IF($U1026&gt;0,$U1026-$V1026,"")</f>
        <v/>
      </c>
      <c r="X1026" s="8" t="str">
        <f t="shared" ref="X1026:X1089" si="33">IF($U1026&gt;0,($U1026-$V1026)/$U1026,"")</f>
        <v/>
      </c>
      <c r="AG1026" s="9"/>
      <c r="AH1026" s="10"/>
    </row>
    <row r="1027" spans="3:34" x14ac:dyDescent="0.35">
      <c r="C1027" s="5"/>
      <c r="D1027" s="5"/>
      <c r="T1027" s="6"/>
      <c r="U1027" s="6"/>
      <c r="V1027" s="6"/>
      <c r="W1027" s="7" t="str">
        <f t="shared" si="32"/>
        <v/>
      </c>
      <c r="X1027" s="8" t="str">
        <f t="shared" si="33"/>
        <v/>
      </c>
      <c r="AG1027" s="9"/>
      <c r="AH1027" s="10"/>
    </row>
    <row r="1028" spans="3:34" x14ac:dyDescent="0.35">
      <c r="C1028" s="5"/>
      <c r="D1028" s="5"/>
      <c r="T1028" s="6"/>
      <c r="U1028" s="6"/>
      <c r="V1028" s="6"/>
      <c r="W1028" s="7" t="str">
        <f t="shared" si="32"/>
        <v/>
      </c>
      <c r="X1028" s="8" t="str">
        <f t="shared" si="33"/>
        <v/>
      </c>
      <c r="AG1028" s="9"/>
      <c r="AH1028" s="10"/>
    </row>
    <row r="1029" spans="3:34" x14ac:dyDescent="0.35">
      <c r="C1029" s="5"/>
      <c r="D1029" s="5"/>
      <c r="T1029" s="6"/>
      <c r="U1029" s="6"/>
      <c r="V1029" s="6"/>
      <c r="W1029" s="7" t="str">
        <f t="shared" si="32"/>
        <v/>
      </c>
      <c r="X1029" s="8" t="str">
        <f t="shared" si="33"/>
        <v/>
      </c>
      <c r="AG1029" s="9"/>
      <c r="AH1029" s="10"/>
    </row>
    <row r="1030" spans="3:34" x14ac:dyDescent="0.35">
      <c r="C1030" s="5"/>
      <c r="D1030" s="5"/>
      <c r="T1030" s="6"/>
      <c r="U1030" s="6"/>
      <c r="V1030" s="6"/>
      <c r="W1030" s="7" t="str">
        <f t="shared" si="32"/>
        <v/>
      </c>
      <c r="X1030" s="8" t="str">
        <f t="shared" si="33"/>
        <v/>
      </c>
      <c r="AG1030" s="9"/>
      <c r="AH1030" s="10"/>
    </row>
    <row r="1031" spans="3:34" x14ac:dyDescent="0.35">
      <c r="C1031" s="5"/>
      <c r="D1031" s="5"/>
      <c r="T1031" s="6"/>
      <c r="U1031" s="6"/>
      <c r="V1031" s="6"/>
      <c r="W1031" s="7" t="str">
        <f t="shared" si="32"/>
        <v/>
      </c>
      <c r="X1031" s="8" t="str">
        <f t="shared" si="33"/>
        <v/>
      </c>
      <c r="AG1031" s="9"/>
      <c r="AH1031" s="10"/>
    </row>
    <row r="1032" spans="3:34" x14ac:dyDescent="0.35">
      <c r="C1032" s="5"/>
      <c r="D1032" s="5"/>
      <c r="T1032" s="6"/>
      <c r="U1032" s="6"/>
      <c r="V1032" s="6"/>
      <c r="W1032" s="7" t="str">
        <f t="shared" si="32"/>
        <v/>
      </c>
      <c r="X1032" s="8" t="str">
        <f t="shared" si="33"/>
        <v/>
      </c>
      <c r="AG1032" s="9"/>
      <c r="AH1032" s="10"/>
    </row>
    <row r="1033" spans="3:34" x14ac:dyDescent="0.35">
      <c r="C1033" s="5"/>
      <c r="D1033" s="5"/>
      <c r="T1033" s="6"/>
      <c r="U1033" s="6"/>
      <c r="V1033" s="6"/>
      <c r="W1033" s="7" t="str">
        <f t="shared" si="32"/>
        <v/>
      </c>
      <c r="X1033" s="8" t="str">
        <f t="shared" si="33"/>
        <v/>
      </c>
      <c r="AG1033" s="9"/>
      <c r="AH1033" s="10"/>
    </row>
    <row r="1034" spans="3:34" x14ac:dyDescent="0.35">
      <c r="C1034" s="5"/>
      <c r="D1034" s="5"/>
      <c r="T1034" s="6"/>
      <c r="U1034" s="6"/>
      <c r="V1034" s="6"/>
      <c r="W1034" s="7" t="str">
        <f t="shared" si="32"/>
        <v/>
      </c>
      <c r="X1034" s="8" t="str">
        <f t="shared" si="33"/>
        <v/>
      </c>
      <c r="AG1034" s="9"/>
      <c r="AH1034" s="10"/>
    </row>
    <row r="1035" spans="3:34" x14ac:dyDescent="0.35">
      <c r="C1035" s="5"/>
      <c r="D1035" s="5"/>
      <c r="T1035" s="6"/>
      <c r="U1035" s="6"/>
      <c r="V1035" s="6"/>
      <c r="W1035" s="7" t="str">
        <f t="shared" si="32"/>
        <v/>
      </c>
      <c r="X1035" s="8" t="str">
        <f t="shared" si="33"/>
        <v/>
      </c>
      <c r="AG1035" s="9"/>
      <c r="AH1035" s="10"/>
    </row>
    <row r="1036" spans="3:34" x14ac:dyDescent="0.35">
      <c r="C1036" s="5"/>
      <c r="D1036" s="5"/>
      <c r="T1036" s="6"/>
      <c r="U1036" s="6"/>
      <c r="V1036" s="6"/>
      <c r="W1036" s="7" t="str">
        <f t="shared" si="32"/>
        <v/>
      </c>
      <c r="X1036" s="8" t="str">
        <f t="shared" si="33"/>
        <v/>
      </c>
      <c r="AG1036" s="9"/>
      <c r="AH1036" s="10"/>
    </row>
    <row r="1037" spans="3:34" x14ac:dyDescent="0.35">
      <c r="C1037" s="5"/>
      <c r="D1037" s="5"/>
      <c r="T1037" s="6"/>
      <c r="U1037" s="6"/>
      <c r="V1037" s="6"/>
      <c r="W1037" s="7" t="str">
        <f t="shared" si="32"/>
        <v/>
      </c>
      <c r="X1037" s="8" t="str">
        <f t="shared" si="33"/>
        <v/>
      </c>
      <c r="AG1037" s="9"/>
      <c r="AH1037" s="10"/>
    </row>
    <row r="1038" spans="3:34" x14ac:dyDescent="0.35">
      <c r="C1038" s="5"/>
      <c r="D1038" s="5"/>
      <c r="T1038" s="6"/>
      <c r="U1038" s="6"/>
      <c r="V1038" s="6"/>
      <c r="W1038" s="7" t="str">
        <f t="shared" si="32"/>
        <v/>
      </c>
      <c r="X1038" s="8" t="str">
        <f t="shared" si="33"/>
        <v/>
      </c>
      <c r="AG1038" s="9"/>
      <c r="AH1038" s="10"/>
    </row>
    <row r="1039" spans="3:34" x14ac:dyDescent="0.35">
      <c r="C1039" s="5"/>
      <c r="D1039" s="5"/>
      <c r="T1039" s="6"/>
      <c r="U1039" s="6"/>
      <c r="V1039" s="6"/>
      <c r="W1039" s="7" t="str">
        <f t="shared" si="32"/>
        <v/>
      </c>
      <c r="X1039" s="8" t="str">
        <f t="shared" si="33"/>
        <v/>
      </c>
      <c r="AG1039" s="9"/>
      <c r="AH1039" s="10"/>
    </row>
    <row r="1040" spans="3:34" x14ac:dyDescent="0.35">
      <c r="C1040" s="5"/>
      <c r="D1040" s="5"/>
      <c r="T1040" s="6"/>
      <c r="U1040" s="6"/>
      <c r="V1040" s="6"/>
      <c r="W1040" s="7" t="str">
        <f t="shared" si="32"/>
        <v/>
      </c>
      <c r="X1040" s="8" t="str">
        <f t="shared" si="33"/>
        <v/>
      </c>
      <c r="AG1040" s="9"/>
      <c r="AH1040" s="10"/>
    </row>
    <row r="1041" spans="3:34" x14ac:dyDescent="0.35">
      <c r="C1041" s="5"/>
      <c r="D1041" s="5"/>
      <c r="T1041" s="6"/>
      <c r="U1041" s="6"/>
      <c r="V1041" s="6"/>
      <c r="W1041" s="7" t="str">
        <f t="shared" si="32"/>
        <v/>
      </c>
      <c r="X1041" s="8" t="str">
        <f t="shared" si="33"/>
        <v/>
      </c>
      <c r="AG1041" s="9"/>
      <c r="AH1041" s="10"/>
    </row>
    <row r="1042" spans="3:34" x14ac:dyDescent="0.35">
      <c r="C1042" s="5"/>
      <c r="D1042" s="5"/>
      <c r="T1042" s="6"/>
      <c r="U1042" s="6"/>
      <c r="V1042" s="6"/>
      <c r="W1042" s="7" t="str">
        <f t="shared" si="32"/>
        <v/>
      </c>
      <c r="X1042" s="8" t="str">
        <f t="shared" si="33"/>
        <v/>
      </c>
      <c r="AG1042" s="9"/>
      <c r="AH1042" s="10"/>
    </row>
    <row r="1043" spans="3:34" x14ac:dyDescent="0.35">
      <c r="C1043" s="5"/>
      <c r="D1043" s="5"/>
      <c r="T1043" s="6"/>
      <c r="U1043" s="6"/>
      <c r="V1043" s="6"/>
      <c r="W1043" s="7" t="str">
        <f t="shared" si="32"/>
        <v/>
      </c>
      <c r="X1043" s="8" t="str">
        <f t="shared" si="33"/>
        <v/>
      </c>
      <c r="AG1043" s="9"/>
      <c r="AH1043" s="10"/>
    </row>
    <row r="1044" spans="3:34" x14ac:dyDescent="0.35">
      <c r="C1044" s="5"/>
      <c r="D1044" s="5"/>
      <c r="T1044" s="6"/>
      <c r="U1044" s="6"/>
      <c r="V1044" s="6"/>
      <c r="W1044" s="7" t="str">
        <f t="shared" si="32"/>
        <v/>
      </c>
      <c r="X1044" s="8" t="str">
        <f t="shared" si="33"/>
        <v/>
      </c>
      <c r="AG1044" s="9"/>
      <c r="AH1044" s="10"/>
    </row>
    <row r="1045" spans="3:34" x14ac:dyDescent="0.35">
      <c r="C1045" s="5"/>
      <c r="D1045" s="5"/>
      <c r="T1045" s="6"/>
      <c r="U1045" s="6"/>
      <c r="V1045" s="6"/>
      <c r="W1045" s="7" t="str">
        <f t="shared" si="32"/>
        <v/>
      </c>
      <c r="X1045" s="8" t="str">
        <f t="shared" si="33"/>
        <v/>
      </c>
      <c r="AG1045" s="9"/>
      <c r="AH1045" s="10"/>
    </row>
    <row r="1046" spans="3:34" x14ac:dyDescent="0.35">
      <c r="C1046" s="5"/>
      <c r="D1046" s="5"/>
      <c r="T1046" s="6"/>
      <c r="U1046" s="6"/>
      <c r="V1046" s="6"/>
      <c r="W1046" s="7" t="str">
        <f t="shared" si="32"/>
        <v/>
      </c>
      <c r="X1046" s="8" t="str">
        <f t="shared" si="33"/>
        <v/>
      </c>
      <c r="AG1046" s="9"/>
      <c r="AH1046" s="10"/>
    </row>
    <row r="1047" spans="3:34" x14ac:dyDescent="0.35">
      <c r="C1047" s="5"/>
      <c r="D1047" s="5"/>
      <c r="T1047" s="6"/>
      <c r="U1047" s="6"/>
      <c r="V1047" s="6"/>
      <c r="W1047" s="7" t="str">
        <f t="shared" si="32"/>
        <v/>
      </c>
      <c r="X1047" s="8" t="str">
        <f t="shared" si="33"/>
        <v/>
      </c>
      <c r="AG1047" s="9"/>
      <c r="AH1047" s="10"/>
    </row>
    <row r="1048" spans="3:34" x14ac:dyDescent="0.35">
      <c r="C1048" s="5"/>
      <c r="D1048" s="5"/>
      <c r="T1048" s="6"/>
      <c r="U1048" s="6"/>
      <c r="V1048" s="6"/>
      <c r="W1048" s="7" t="str">
        <f t="shared" si="32"/>
        <v/>
      </c>
      <c r="X1048" s="8" t="str">
        <f t="shared" si="33"/>
        <v/>
      </c>
      <c r="AG1048" s="9"/>
      <c r="AH1048" s="10"/>
    </row>
    <row r="1049" spans="3:34" x14ac:dyDescent="0.35">
      <c r="C1049" s="5"/>
      <c r="D1049" s="5"/>
      <c r="T1049" s="6"/>
      <c r="U1049" s="6"/>
      <c r="V1049" s="6"/>
      <c r="W1049" s="7" t="str">
        <f t="shared" si="32"/>
        <v/>
      </c>
      <c r="X1049" s="8" t="str">
        <f t="shared" si="33"/>
        <v/>
      </c>
      <c r="AG1049" s="9"/>
      <c r="AH1049" s="10"/>
    </row>
    <row r="1050" spans="3:34" x14ac:dyDescent="0.35">
      <c r="C1050" s="5"/>
      <c r="D1050" s="5"/>
      <c r="T1050" s="6"/>
      <c r="U1050" s="6"/>
      <c r="V1050" s="6"/>
      <c r="W1050" s="7" t="str">
        <f t="shared" si="32"/>
        <v/>
      </c>
      <c r="X1050" s="8" t="str">
        <f t="shared" si="33"/>
        <v/>
      </c>
      <c r="AG1050" s="9"/>
      <c r="AH1050" s="10"/>
    </row>
    <row r="1051" spans="3:34" x14ac:dyDescent="0.35">
      <c r="C1051" s="5"/>
      <c r="D1051" s="5"/>
      <c r="T1051" s="6"/>
      <c r="U1051" s="6"/>
      <c r="V1051" s="6"/>
      <c r="W1051" s="7" t="str">
        <f t="shared" si="32"/>
        <v/>
      </c>
      <c r="X1051" s="8" t="str">
        <f t="shared" si="33"/>
        <v/>
      </c>
      <c r="AG1051" s="9"/>
      <c r="AH1051" s="10"/>
    </row>
    <row r="1052" spans="3:34" x14ac:dyDescent="0.35">
      <c r="C1052" s="5"/>
      <c r="D1052" s="5"/>
      <c r="T1052" s="6"/>
      <c r="U1052" s="6"/>
      <c r="V1052" s="6"/>
      <c r="W1052" s="7" t="str">
        <f t="shared" si="32"/>
        <v/>
      </c>
      <c r="X1052" s="8" t="str">
        <f t="shared" si="33"/>
        <v/>
      </c>
      <c r="AG1052" s="9"/>
      <c r="AH1052" s="10"/>
    </row>
    <row r="1053" spans="3:34" x14ac:dyDescent="0.35">
      <c r="C1053" s="5"/>
      <c r="D1053" s="5"/>
      <c r="T1053" s="6"/>
      <c r="U1053" s="6"/>
      <c r="V1053" s="6"/>
      <c r="W1053" s="7" t="str">
        <f t="shared" si="32"/>
        <v/>
      </c>
      <c r="X1053" s="8" t="str">
        <f t="shared" si="33"/>
        <v/>
      </c>
      <c r="AG1053" s="9"/>
      <c r="AH1053" s="10"/>
    </row>
    <row r="1054" spans="3:34" x14ac:dyDescent="0.35">
      <c r="C1054" s="5"/>
      <c r="D1054" s="5"/>
      <c r="T1054" s="6"/>
      <c r="U1054" s="6"/>
      <c r="V1054" s="6"/>
      <c r="W1054" s="7" t="str">
        <f t="shared" si="32"/>
        <v/>
      </c>
      <c r="X1054" s="8" t="str">
        <f t="shared" si="33"/>
        <v/>
      </c>
      <c r="AG1054" s="9"/>
      <c r="AH1054" s="10"/>
    </row>
    <row r="1055" spans="3:34" x14ac:dyDescent="0.35">
      <c r="C1055" s="5"/>
      <c r="D1055" s="5"/>
      <c r="T1055" s="6"/>
      <c r="U1055" s="6"/>
      <c r="V1055" s="6"/>
      <c r="W1055" s="7" t="str">
        <f t="shared" si="32"/>
        <v/>
      </c>
      <c r="X1055" s="8" t="str">
        <f t="shared" si="33"/>
        <v/>
      </c>
      <c r="AG1055" s="9"/>
      <c r="AH1055" s="10"/>
    </row>
    <row r="1056" spans="3:34" x14ac:dyDescent="0.35">
      <c r="C1056" s="5"/>
      <c r="D1056" s="5"/>
      <c r="T1056" s="6"/>
      <c r="U1056" s="6"/>
      <c r="V1056" s="6"/>
      <c r="W1056" s="7" t="str">
        <f t="shared" si="32"/>
        <v/>
      </c>
      <c r="X1056" s="8" t="str">
        <f t="shared" si="33"/>
        <v/>
      </c>
      <c r="AG1056" s="9"/>
      <c r="AH1056" s="10"/>
    </row>
    <row r="1057" spans="3:34" x14ac:dyDescent="0.35">
      <c r="C1057" s="5"/>
      <c r="D1057" s="5"/>
      <c r="T1057" s="6"/>
      <c r="U1057" s="6"/>
      <c r="V1057" s="6"/>
      <c r="W1057" s="7" t="str">
        <f t="shared" si="32"/>
        <v/>
      </c>
      <c r="X1057" s="8" t="str">
        <f t="shared" si="33"/>
        <v/>
      </c>
      <c r="AG1057" s="9"/>
      <c r="AH1057" s="10"/>
    </row>
    <row r="1058" spans="3:34" x14ac:dyDescent="0.35">
      <c r="C1058" s="5"/>
      <c r="D1058" s="5"/>
      <c r="T1058" s="6"/>
      <c r="U1058" s="6"/>
      <c r="V1058" s="6"/>
      <c r="W1058" s="7" t="str">
        <f t="shared" si="32"/>
        <v/>
      </c>
      <c r="X1058" s="8" t="str">
        <f t="shared" si="33"/>
        <v/>
      </c>
      <c r="AG1058" s="9"/>
      <c r="AH1058" s="10"/>
    </row>
    <row r="1059" spans="3:34" x14ac:dyDescent="0.35">
      <c r="C1059" s="5"/>
      <c r="D1059" s="5"/>
      <c r="T1059" s="6"/>
      <c r="U1059" s="6"/>
      <c r="V1059" s="6"/>
      <c r="W1059" s="7" t="str">
        <f t="shared" si="32"/>
        <v/>
      </c>
      <c r="X1059" s="8" t="str">
        <f t="shared" si="33"/>
        <v/>
      </c>
      <c r="AG1059" s="9"/>
      <c r="AH1059" s="10"/>
    </row>
    <row r="1060" spans="3:34" x14ac:dyDescent="0.35">
      <c r="C1060" s="5"/>
      <c r="D1060" s="5"/>
      <c r="T1060" s="6"/>
      <c r="U1060" s="6"/>
      <c r="V1060" s="6"/>
      <c r="W1060" s="7" t="str">
        <f t="shared" si="32"/>
        <v/>
      </c>
      <c r="X1060" s="8" t="str">
        <f t="shared" si="33"/>
        <v/>
      </c>
      <c r="AG1060" s="9"/>
      <c r="AH1060" s="10"/>
    </row>
    <row r="1061" spans="3:34" x14ac:dyDescent="0.35">
      <c r="C1061" s="5"/>
      <c r="D1061" s="5"/>
      <c r="T1061" s="6"/>
      <c r="U1061" s="6"/>
      <c r="V1061" s="6"/>
      <c r="W1061" s="7" t="str">
        <f t="shared" si="32"/>
        <v/>
      </c>
      <c r="X1061" s="8" t="str">
        <f t="shared" si="33"/>
        <v/>
      </c>
      <c r="AG1061" s="9"/>
      <c r="AH1061" s="10"/>
    </row>
    <row r="1062" spans="3:34" x14ac:dyDescent="0.35">
      <c r="C1062" s="5"/>
      <c r="D1062" s="5"/>
      <c r="T1062" s="6"/>
      <c r="U1062" s="6"/>
      <c r="V1062" s="6"/>
      <c r="W1062" s="7" t="str">
        <f t="shared" si="32"/>
        <v/>
      </c>
      <c r="X1062" s="8" t="str">
        <f t="shared" si="33"/>
        <v/>
      </c>
      <c r="AG1062" s="9"/>
      <c r="AH1062" s="10"/>
    </row>
    <row r="1063" spans="3:34" x14ac:dyDescent="0.35">
      <c r="C1063" s="5"/>
      <c r="D1063" s="5"/>
      <c r="T1063" s="6"/>
      <c r="U1063" s="6"/>
      <c r="V1063" s="6"/>
      <c r="W1063" s="7" t="str">
        <f t="shared" si="32"/>
        <v/>
      </c>
      <c r="X1063" s="8" t="str">
        <f t="shared" si="33"/>
        <v/>
      </c>
      <c r="AG1063" s="9"/>
      <c r="AH1063" s="10"/>
    </row>
    <row r="1064" spans="3:34" x14ac:dyDescent="0.35">
      <c r="C1064" s="5"/>
      <c r="D1064" s="5"/>
      <c r="T1064" s="6"/>
      <c r="U1064" s="6"/>
      <c r="V1064" s="6"/>
      <c r="W1064" s="7" t="str">
        <f t="shared" si="32"/>
        <v/>
      </c>
      <c r="X1064" s="8" t="str">
        <f t="shared" si="33"/>
        <v/>
      </c>
      <c r="AG1064" s="9"/>
      <c r="AH1064" s="10"/>
    </row>
    <row r="1065" spans="3:34" x14ac:dyDescent="0.35">
      <c r="C1065" s="5"/>
      <c r="D1065" s="5"/>
      <c r="T1065" s="6"/>
      <c r="U1065" s="6"/>
      <c r="V1065" s="6"/>
      <c r="W1065" s="7" t="str">
        <f t="shared" si="32"/>
        <v/>
      </c>
      <c r="X1065" s="8" t="str">
        <f t="shared" si="33"/>
        <v/>
      </c>
      <c r="AG1065" s="9"/>
      <c r="AH1065" s="10"/>
    </row>
    <row r="1066" spans="3:34" x14ac:dyDescent="0.35">
      <c r="C1066" s="5"/>
      <c r="D1066" s="5"/>
      <c r="T1066" s="6"/>
      <c r="U1066" s="6"/>
      <c r="V1066" s="6"/>
      <c r="W1066" s="7" t="str">
        <f t="shared" si="32"/>
        <v/>
      </c>
      <c r="X1066" s="8" t="str">
        <f t="shared" si="33"/>
        <v/>
      </c>
      <c r="AG1066" s="9"/>
      <c r="AH1066" s="10"/>
    </row>
    <row r="1067" spans="3:34" x14ac:dyDescent="0.35">
      <c r="C1067" s="5"/>
      <c r="D1067" s="5"/>
      <c r="T1067" s="6"/>
      <c r="U1067" s="6"/>
      <c r="V1067" s="6"/>
      <c r="W1067" s="7" t="str">
        <f t="shared" si="32"/>
        <v/>
      </c>
      <c r="X1067" s="8" t="str">
        <f t="shared" si="33"/>
        <v/>
      </c>
      <c r="AG1067" s="9"/>
      <c r="AH1067" s="10"/>
    </row>
    <row r="1068" spans="3:34" x14ac:dyDescent="0.35">
      <c r="C1068" s="5"/>
      <c r="D1068" s="5"/>
      <c r="T1068" s="6"/>
      <c r="U1068" s="6"/>
      <c r="V1068" s="6"/>
      <c r="W1068" s="7" t="str">
        <f t="shared" si="32"/>
        <v/>
      </c>
      <c r="X1068" s="8" t="str">
        <f t="shared" si="33"/>
        <v/>
      </c>
      <c r="AG1068" s="9"/>
      <c r="AH1068" s="10"/>
    </row>
    <row r="1069" spans="3:34" x14ac:dyDescent="0.35">
      <c r="C1069" s="5"/>
      <c r="D1069" s="5"/>
      <c r="T1069" s="6"/>
      <c r="U1069" s="6"/>
      <c r="V1069" s="6"/>
      <c r="W1069" s="7" t="str">
        <f t="shared" si="32"/>
        <v/>
      </c>
      <c r="X1069" s="8" t="str">
        <f t="shared" si="33"/>
        <v/>
      </c>
      <c r="AG1069" s="9"/>
      <c r="AH1069" s="10"/>
    </row>
    <row r="1070" spans="3:34" x14ac:dyDescent="0.35">
      <c r="C1070" s="5"/>
      <c r="D1070" s="5"/>
      <c r="T1070" s="6"/>
      <c r="U1070" s="6"/>
      <c r="V1070" s="6"/>
      <c r="W1070" s="7" t="str">
        <f t="shared" si="32"/>
        <v/>
      </c>
      <c r="X1070" s="8" t="str">
        <f t="shared" si="33"/>
        <v/>
      </c>
      <c r="AG1070" s="9"/>
      <c r="AH1070" s="10"/>
    </row>
    <row r="1071" spans="3:34" x14ac:dyDescent="0.35">
      <c r="C1071" s="5"/>
      <c r="D1071" s="5"/>
      <c r="T1071" s="6"/>
      <c r="U1071" s="6"/>
      <c r="V1071" s="6"/>
      <c r="W1071" s="7" t="str">
        <f t="shared" si="32"/>
        <v/>
      </c>
      <c r="X1071" s="8" t="str">
        <f t="shared" si="33"/>
        <v/>
      </c>
      <c r="AG1071" s="9"/>
      <c r="AH1071" s="10"/>
    </row>
    <row r="1072" spans="3:34" x14ac:dyDescent="0.35">
      <c r="C1072" s="5"/>
      <c r="D1072" s="5"/>
      <c r="T1072" s="6"/>
      <c r="U1072" s="6"/>
      <c r="V1072" s="6"/>
      <c r="W1072" s="7" t="str">
        <f t="shared" si="32"/>
        <v/>
      </c>
      <c r="X1072" s="8" t="str">
        <f t="shared" si="33"/>
        <v/>
      </c>
      <c r="AG1072" s="9"/>
      <c r="AH1072" s="10"/>
    </row>
    <row r="1073" spans="3:34" x14ac:dyDescent="0.35">
      <c r="C1073" s="5"/>
      <c r="D1073" s="5"/>
      <c r="T1073" s="6"/>
      <c r="U1073" s="6"/>
      <c r="V1073" s="6"/>
      <c r="W1073" s="7" t="str">
        <f t="shared" si="32"/>
        <v/>
      </c>
      <c r="X1073" s="8" t="str">
        <f t="shared" si="33"/>
        <v/>
      </c>
      <c r="AG1073" s="9"/>
      <c r="AH1073" s="10"/>
    </row>
    <row r="1074" spans="3:34" x14ac:dyDescent="0.35">
      <c r="C1074" s="5"/>
      <c r="D1074" s="5"/>
      <c r="T1074" s="6"/>
      <c r="U1074" s="6"/>
      <c r="V1074" s="6"/>
      <c r="W1074" s="7" t="str">
        <f t="shared" si="32"/>
        <v/>
      </c>
      <c r="X1074" s="8" t="str">
        <f t="shared" si="33"/>
        <v/>
      </c>
      <c r="AG1074" s="9"/>
      <c r="AH1074" s="10"/>
    </row>
    <row r="1075" spans="3:34" x14ac:dyDescent="0.35">
      <c r="C1075" s="5"/>
      <c r="D1075" s="5"/>
      <c r="T1075" s="6"/>
      <c r="U1075" s="6"/>
      <c r="V1075" s="6"/>
      <c r="W1075" s="7" t="str">
        <f t="shared" si="32"/>
        <v/>
      </c>
      <c r="X1075" s="8" t="str">
        <f t="shared" si="33"/>
        <v/>
      </c>
      <c r="AG1075" s="9"/>
      <c r="AH1075" s="10"/>
    </row>
    <row r="1076" spans="3:34" x14ac:dyDescent="0.35">
      <c r="C1076" s="5"/>
      <c r="D1076" s="5"/>
      <c r="T1076" s="6"/>
      <c r="U1076" s="6"/>
      <c r="V1076" s="6"/>
      <c r="W1076" s="7" t="str">
        <f t="shared" si="32"/>
        <v/>
      </c>
      <c r="X1076" s="8" t="str">
        <f t="shared" si="33"/>
        <v/>
      </c>
      <c r="AG1076" s="9"/>
      <c r="AH1076" s="10"/>
    </row>
    <row r="1077" spans="3:34" x14ac:dyDescent="0.35">
      <c r="C1077" s="5"/>
      <c r="D1077" s="5"/>
      <c r="T1077" s="6"/>
      <c r="U1077" s="6"/>
      <c r="V1077" s="6"/>
      <c r="W1077" s="7" t="str">
        <f t="shared" si="32"/>
        <v/>
      </c>
      <c r="X1077" s="8" t="str">
        <f t="shared" si="33"/>
        <v/>
      </c>
      <c r="AG1077" s="9"/>
      <c r="AH1077" s="10"/>
    </row>
    <row r="1078" spans="3:34" x14ac:dyDescent="0.35">
      <c r="C1078" s="5"/>
      <c r="D1078" s="5"/>
      <c r="T1078" s="6"/>
      <c r="U1078" s="6"/>
      <c r="V1078" s="6"/>
      <c r="W1078" s="7" t="str">
        <f t="shared" si="32"/>
        <v/>
      </c>
      <c r="X1078" s="8" t="str">
        <f t="shared" si="33"/>
        <v/>
      </c>
      <c r="AG1078" s="9"/>
      <c r="AH1078" s="10"/>
    </row>
    <row r="1079" spans="3:34" x14ac:dyDescent="0.35">
      <c r="C1079" s="5"/>
      <c r="D1079" s="5"/>
      <c r="T1079" s="6"/>
      <c r="U1079" s="6"/>
      <c r="V1079" s="6"/>
      <c r="W1079" s="7" t="str">
        <f t="shared" si="32"/>
        <v/>
      </c>
      <c r="X1079" s="8" t="str">
        <f t="shared" si="33"/>
        <v/>
      </c>
      <c r="AG1079" s="9"/>
      <c r="AH1079" s="10"/>
    </row>
    <row r="1080" spans="3:34" x14ac:dyDescent="0.35">
      <c r="C1080" s="5"/>
      <c r="D1080" s="5"/>
      <c r="T1080" s="6"/>
      <c r="U1080" s="6"/>
      <c r="V1080" s="6"/>
      <c r="W1080" s="7" t="str">
        <f t="shared" si="32"/>
        <v/>
      </c>
      <c r="X1080" s="8" t="str">
        <f t="shared" si="33"/>
        <v/>
      </c>
      <c r="AG1080" s="9"/>
      <c r="AH1080" s="10"/>
    </row>
    <row r="1081" spans="3:34" x14ac:dyDescent="0.35">
      <c r="C1081" s="5"/>
      <c r="D1081" s="5"/>
      <c r="T1081" s="6"/>
      <c r="U1081" s="6"/>
      <c r="V1081" s="6"/>
      <c r="W1081" s="7" t="str">
        <f t="shared" si="32"/>
        <v/>
      </c>
      <c r="X1081" s="8" t="str">
        <f t="shared" si="33"/>
        <v/>
      </c>
      <c r="AG1081" s="9"/>
      <c r="AH1081" s="10"/>
    </row>
    <row r="1082" spans="3:34" x14ac:dyDescent="0.35">
      <c r="C1082" s="5"/>
      <c r="D1082" s="5"/>
      <c r="T1082" s="6"/>
      <c r="U1082" s="6"/>
      <c r="V1082" s="6"/>
      <c r="W1082" s="7" t="str">
        <f t="shared" si="32"/>
        <v/>
      </c>
      <c r="X1082" s="8" t="str">
        <f t="shared" si="33"/>
        <v/>
      </c>
      <c r="AG1082" s="9"/>
      <c r="AH1082" s="10"/>
    </row>
    <row r="1083" spans="3:34" x14ac:dyDescent="0.35">
      <c r="C1083" s="5"/>
      <c r="D1083" s="5"/>
      <c r="T1083" s="6"/>
      <c r="U1083" s="6"/>
      <c r="V1083" s="6"/>
      <c r="W1083" s="7" t="str">
        <f t="shared" si="32"/>
        <v/>
      </c>
      <c r="X1083" s="8" t="str">
        <f t="shared" si="33"/>
        <v/>
      </c>
      <c r="AG1083" s="9"/>
      <c r="AH1083" s="10"/>
    </row>
    <row r="1084" spans="3:34" x14ac:dyDescent="0.35">
      <c r="C1084" s="5"/>
      <c r="D1084" s="5"/>
      <c r="T1084" s="6"/>
      <c r="U1084" s="6"/>
      <c r="V1084" s="6"/>
      <c r="W1084" s="7" t="str">
        <f t="shared" si="32"/>
        <v/>
      </c>
      <c r="X1084" s="8" t="str">
        <f t="shared" si="33"/>
        <v/>
      </c>
      <c r="AG1084" s="9"/>
      <c r="AH1084" s="10"/>
    </row>
    <row r="1085" spans="3:34" x14ac:dyDescent="0.35">
      <c r="C1085" s="5"/>
      <c r="D1085" s="5"/>
      <c r="T1085" s="6"/>
      <c r="U1085" s="6"/>
      <c r="V1085" s="6"/>
      <c r="W1085" s="7" t="str">
        <f t="shared" si="32"/>
        <v/>
      </c>
      <c r="X1085" s="8" t="str">
        <f t="shared" si="33"/>
        <v/>
      </c>
      <c r="AG1085" s="9"/>
      <c r="AH1085" s="10"/>
    </row>
    <row r="1086" spans="3:34" x14ac:dyDescent="0.35">
      <c r="C1086" s="5"/>
      <c r="D1086" s="5"/>
      <c r="T1086" s="6"/>
      <c r="U1086" s="6"/>
      <c r="V1086" s="6"/>
      <c r="W1086" s="7" t="str">
        <f t="shared" si="32"/>
        <v/>
      </c>
      <c r="X1086" s="8" t="str">
        <f t="shared" si="33"/>
        <v/>
      </c>
      <c r="AG1086" s="9"/>
      <c r="AH1086" s="10"/>
    </row>
    <row r="1087" spans="3:34" x14ac:dyDescent="0.35">
      <c r="C1087" s="5"/>
      <c r="D1087" s="5"/>
      <c r="T1087" s="6"/>
      <c r="U1087" s="6"/>
      <c r="V1087" s="6"/>
      <c r="W1087" s="7" t="str">
        <f t="shared" si="32"/>
        <v/>
      </c>
      <c r="X1087" s="8" t="str">
        <f t="shared" si="33"/>
        <v/>
      </c>
      <c r="AG1087" s="9"/>
      <c r="AH1087" s="10"/>
    </row>
    <row r="1088" spans="3:34" x14ac:dyDescent="0.35">
      <c r="C1088" s="5"/>
      <c r="D1088" s="5"/>
      <c r="T1088" s="6"/>
      <c r="U1088" s="6"/>
      <c r="V1088" s="6"/>
      <c r="W1088" s="7" t="str">
        <f t="shared" si="32"/>
        <v/>
      </c>
      <c r="X1088" s="8" t="str">
        <f t="shared" si="33"/>
        <v/>
      </c>
      <c r="AG1088" s="9"/>
      <c r="AH1088" s="10"/>
    </row>
    <row r="1089" spans="3:34" x14ac:dyDescent="0.35">
      <c r="C1089" s="5"/>
      <c r="D1089" s="5"/>
      <c r="T1089" s="6"/>
      <c r="U1089" s="6"/>
      <c r="V1089" s="6"/>
      <c r="W1089" s="7" t="str">
        <f t="shared" si="32"/>
        <v/>
      </c>
      <c r="X1089" s="8" t="str">
        <f t="shared" si="33"/>
        <v/>
      </c>
      <c r="AG1089" s="9"/>
      <c r="AH1089" s="10"/>
    </row>
    <row r="1090" spans="3:34" x14ac:dyDescent="0.35">
      <c r="C1090" s="5"/>
      <c r="D1090" s="5"/>
      <c r="T1090" s="6"/>
      <c r="U1090" s="6"/>
      <c r="V1090" s="6"/>
      <c r="W1090" s="7" t="str">
        <f t="shared" ref="W1090:W1153" si="34">IF($U1090&gt;0,$U1090-$V1090,"")</f>
        <v/>
      </c>
      <c r="X1090" s="8" t="str">
        <f t="shared" ref="X1090:X1153" si="35">IF($U1090&gt;0,($U1090-$V1090)/$U1090,"")</f>
        <v/>
      </c>
      <c r="AG1090" s="9"/>
      <c r="AH1090" s="10"/>
    </row>
    <row r="1091" spans="3:34" x14ac:dyDescent="0.35">
      <c r="C1091" s="5"/>
      <c r="D1091" s="5"/>
      <c r="T1091" s="6"/>
      <c r="U1091" s="6"/>
      <c r="V1091" s="6"/>
      <c r="W1091" s="7" t="str">
        <f t="shared" si="34"/>
        <v/>
      </c>
      <c r="X1091" s="8" t="str">
        <f t="shared" si="35"/>
        <v/>
      </c>
      <c r="AG1091" s="9"/>
      <c r="AH1091" s="10"/>
    </row>
    <row r="1092" spans="3:34" x14ac:dyDescent="0.35">
      <c r="C1092" s="5"/>
      <c r="D1092" s="5"/>
      <c r="T1092" s="6"/>
      <c r="U1092" s="6"/>
      <c r="V1092" s="6"/>
      <c r="W1092" s="7" t="str">
        <f t="shared" si="34"/>
        <v/>
      </c>
      <c r="X1092" s="8" t="str">
        <f t="shared" si="35"/>
        <v/>
      </c>
      <c r="AG1092" s="9"/>
      <c r="AH1092" s="10"/>
    </row>
    <row r="1093" spans="3:34" x14ac:dyDescent="0.35">
      <c r="C1093" s="5"/>
      <c r="D1093" s="5"/>
      <c r="T1093" s="6"/>
      <c r="U1093" s="6"/>
      <c r="V1093" s="6"/>
      <c r="W1093" s="7" t="str">
        <f t="shared" si="34"/>
        <v/>
      </c>
      <c r="X1093" s="8" t="str">
        <f t="shared" si="35"/>
        <v/>
      </c>
      <c r="AG1093" s="9"/>
      <c r="AH1093" s="10"/>
    </row>
    <row r="1094" spans="3:34" x14ac:dyDescent="0.35">
      <c r="C1094" s="5"/>
      <c r="D1094" s="5"/>
      <c r="T1094" s="6"/>
      <c r="U1094" s="6"/>
      <c r="V1094" s="6"/>
      <c r="W1094" s="7" t="str">
        <f t="shared" si="34"/>
        <v/>
      </c>
      <c r="X1094" s="8" t="str">
        <f t="shared" si="35"/>
        <v/>
      </c>
      <c r="AG1094" s="9"/>
      <c r="AH1094" s="10"/>
    </row>
    <row r="1095" spans="3:34" x14ac:dyDescent="0.35">
      <c r="C1095" s="5"/>
      <c r="D1095" s="5"/>
      <c r="T1095" s="6"/>
      <c r="U1095" s="6"/>
      <c r="V1095" s="6"/>
      <c r="W1095" s="7" t="str">
        <f t="shared" si="34"/>
        <v/>
      </c>
      <c r="X1095" s="8" t="str">
        <f t="shared" si="35"/>
        <v/>
      </c>
      <c r="AG1095" s="9"/>
      <c r="AH1095" s="10"/>
    </row>
    <row r="1096" spans="3:34" x14ac:dyDescent="0.35">
      <c r="C1096" s="5"/>
      <c r="D1096" s="5"/>
      <c r="T1096" s="6"/>
      <c r="U1096" s="6"/>
      <c r="V1096" s="6"/>
      <c r="W1096" s="7" t="str">
        <f t="shared" si="34"/>
        <v/>
      </c>
      <c r="X1096" s="8" t="str">
        <f t="shared" si="35"/>
        <v/>
      </c>
      <c r="AG1096" s="9"/>
      <c r="AH1096" s="10"/>
    </row>
    <row r="1097" spans="3:34" x14ac:dyDescent="0.35">
      <c r="C1097" s="5"/>
      <c r="D1097" s="5"/>
      <c r="T1097" s="6"/>
      <c r="U1097" s="6"/>
      <c r="V1097" s="6"/>
      <c r="W1097" s="7" t="str">
        <f t="shared" si="34"/>
        <v/>
      </c>
      <c r="X1097" s="8" t="str">
        <f t="shared" si="35"/>
        <v/>
      </c>
      <c r="AG1097" s="9"/>
      <c r="AH1097" s="10"/>
    </row>
    <row r="1098" spans="3:34" x14ac:dyDescent="0.35">
      <c r="C1098" s="5"/>
      <c r="D1098" s="5"/>
      <c r="T1098" s="6"/>
      <c r="U1098" s="6"/>
      <c r="V1098" s="6"/>
      <c r="W1098" s="7" t="str">
        <f t="shared" si="34"/>
        <v/>
      </c>
      <c r="X1098" s="8" t="str">
        <f t="shared" si="35"/>
        <v/>
      </c>
      <c r="AG1098" s="9"/>
      <c r="AH1098" s="10"/>
    </row>
    <row r="1099" spans="3:34" x14ac:dyDescent="0.35">
      <c r="C1099" s="5"/>
      <c r="D1099" s="5"/>
      <c r="T1099" s="6"/>
      <c r="U1099" s="6"/>
      <c r="V1099" s="6"/>
      <c r="W1099" s="7" t="str">
        <f t="shared" si="34"/>
        <v/>
      </c>
      <c r="X1099" s="8" t="str">
        <f t="shared" si="35"/>
        <v/>
      </c>
      <c r="AG1099" s="9"/>
      <c r="AH1099" s="10"/>
    </row>
    <row r="1100" spans="3:34" x14ac:dyDescent="0.35">
      <c r="C1100" s="5"/>
      <c r="D1100" s="5"/>
      <c r="T1100" s="6"/>
      <c r="U1100" s="6"/>
      <c r="V1100" s="6"/>
      <c r="W1100" s="7" t="str">
        <f t="shared" si="34"/>
        <v/>
      </c>
      <c r="X1100" s="8" t="str">
        <f t="shared" si="35"/>
        <v/>
      </c>
      <c r="AG1100" s="9"/>
      <c r="AH1100" s="10"/>
    </row>
    <row r="1101" spans="3:34" x14ac:dyDescent="0.35">
      <c r="C1101" s="5"/>
      <c r="D1101" s="5"/>
      <c r="T1101" s="6"/>
      <c r="U1101" s="6"/>
      <c r="V1101" s="6"/>
      <c r="W1101" s="7" t="str">
        <f t="shared" si="34"/>
        <v/>
      </c>
      <c r="X1101" s="8" t="str">
        <f t="shared" si="35"/>
        <v/>
      </c>
      <c r="AG1101" s="9"/>
      <c r="AH1101" s="10"/>
    </row>
    <row r="1102" spans="3:34" x14ac:dyDescent="0.35">
      <c r="C1102" s="5"/>
      <c r="D1102" s="5"/>
      <c r="T1102" s="6"/>
      <c r="U1102" s="6"/>
      <c r="V1102" s="6"/>
      <c r="W1102" s="7" t="str">
        <f t="shared" si="34"/>
        <v/>
      </c>
      <c r="X1102" s="8" t="str">
        <f t="shared" si="35"/>
        <v/>
      </c>
      <c r="AG1102" s="9"/>
      <c r="AH1102" s="10"/>
    </row>
    <row r="1103" spans="3:34" x14ac:dyDescent="0.35">
      <c r="C1103" s="5"/>
      <c r="D1103" s="5"/>
      <c r="T1103" s="6"/>
      <c r="U1103" s="6"/>
      <c r="V1103" s="6"/>
      <c r="W1103" s="7" t="str">
        <f t="shared" si="34"/>
        <v/>
      </c>
      <c r="X1103" s="8" t="str">
        <f t="shared" si="35"/>
        <v/>
      </c>
      <c r="AG1103" s="9"/>
      <c r="AH1103" s="10"/>
    </row>
    <row r="1104" spans="3:34" x14ac:dyDescent="0.35">
      <c r="C1104" s="5"/>
      <c r="D1104" s="5"/>
      <c r="T1104" s="6"/>
      <c r="U1104" s="6"/>
      <c r="V1104" s="6"/>
      <c r="W1104" s="7" t="str">
        <f t="shared" si="34"/>
        <v/>
      </c>
      <c r="X1104" s="8" t="str">
        <f t="shared" si="35"/>
        <v/>
      </c>
      <c r="AG1104" s="9"/>
      <c r="AH1104" s="10"/>
    </row>
    <row r="1105" spans="3:34" x14ac:dyDescent="0.35">
      <c r="C1105" s="5"/>
      <c r="D1105" s="5"/>
      <c r="T1105" s="6"/>
      <c r="U1105" s="6"/>
      <c r="V1105" s="6"/>
      <c r="W1105" s="7" t="str">
        <f t="shared" si="34"/>
        <v/>
      </c>
      <c r="X1105" s="8" t="str">
        <f t="shared" si="35"/>
        <v/>
      </c>
      <c r="AG1105" s="9"/>
      <c r="AH1105" s="10"/>
    </row>
    <row r="1106" spans="3:34" x14ac:dyDescent="0.35">
      <c r="C1106" s="5"/>
      <c r="D1106" s="5"/>
      <c r="T1106" s="6"/>
      <c r="U1106" s="6"/>
      <c r="V1106" s="6"/>
      <c r="W1106" s="7" t="str">
        <f t="shared" si="34"/>
        <v/>
      </c>
      <c r="X1106" s="8" t="str">
        <f t="shared" si="35"/>
        <v/>
      </c>
      <c r="AG1106" s="9"/>
      <c r="AH1106" s="10"/>
    </row>
    <row r="1107" spans="3:34" x14ac:dyDescent="0.35">
      <c r="C1107" s="5"/>
      <c r="D1107" s="5"/>
      <c r="T1107" s="6"/>
      <c r="U1107" s="6"/>
      <c r="V1107" s="6"/>
      <c r="W1107" s="7" t="str">
        <f t="shared" si="34"/>
        <v/>
      </c>
      <c r="X1107" s="8" t="str">
        <f t="shared" si="35"/>
        <v/>
      </c>
      <c r="AG1107" s="9"/>
      <c r="AH1107" s="10"/>
    </row>
    <row r="1108" spans="3:34" x14ac:dyDescent="0.35">
      <c r="C1108" s="5"/>
      <c r="D1108" s="5"/>
      <c r="T1108" s="6"/>
      <c r="U1108" s="6"/>
      <c r="V1108" s="6"/>
      <c r="W1108" s="7" t="str">
        <f t="shared" si="34"/>
        <v/>
      </c>
      <c r="X1108" s="8" t="str">
        <f t="shared" si="35"/>
        <v/>
      </c>
      <c r="AG1108" s="9"/>
      <c r="AH1108" s="10"/>
    </row>
    <row r="1109" spans="3:34" x14ac:dyDescent="0.35">
      <c r="C1109" s="5"/>
      <c r="D1109" s="5"/>
      <c r="T1109" s="6"/>
      <c r="U1109" s="6"/>
      <c r="V1109" s="6"/>
      <c r="W1109" s="7" t="str">
        <f t="shared" si="34"/>
        <v/>
      </c>
      <c r="X1109" s="8" t="str">
        <f t="shared" si="35"/>
        <v/>
      </c>
      <c r="AG1109" s="9"/>
      <c r="AH1109" s="10"/>
    </row>
    <row r="1110" spans="3:34" x14ac:dyDescent="0.35">
      <c r="C1110" s="5"/>
      <c r="D1110" s="5"/>
      <c r="T1110" s="6"/>
      <c r="U1110" s="6"/>
      <c r="V1110" s="6"/>
      <c r="W1110" s="7" t="str">
        <f t="shared" si="34"/>
        <v/>
      </c>
      <c r="X1110" s="8" t="str">
        <f t="shared" si="35"/>
        <v/>
      </c>
      <c r="AG1110" s="9"/>
      <c r="AH1110" s="10"/>
    </row>
    <row r="1111" spans="3:34" x14ac:dyDescent="0.35">
      <c r="C1111" s="5"/>
      <c r="D1111" s="5"/>
      <c r="T1111" s="6"/>
      <c r="U1111" s="6"/>
      <c r="V1111" s="6"/>
      <c r="W1111" s="7" t="str">
        <f t="shared" si="34"/>
        <v/>
      </c>
      <c r="X1111" s="8" t="str">
        <f t="shared" si="35"/>
        <v/>
      </c>
      <c r="AG1111" s="9"/>
      <c r="AH1111" s="10"/>
    </row>
    <row r="1112" spans="3:34" x14ac:dyDescent="0.35">
      <c r="C1112" s="5"/>
      <c r="D1112" s="5"/>
      <c r="T1112" s="6"/>
      <c r="U1112" s="6"/>
      <c r="V1112" s="6"/>
      <c r="W1112" s="7" t="str">
        <f t="shared" si="34"/>
        <v/>
      </c>
      <c r="X1112" s="8" t="str">
        <f t="shared" si="35"/>
        <v/>
      </c>
      <c r="AG1112" s="9"/>
      <c r="AH1112" s="10"/>
    </row>
    <row r="1113" spans="3:34" x14ac:dyDescent="0.35">
      <c r="C1113" s="5"/>
      <c r="D1113" s="5"/>
      <c r="T1113" s="6"/>
      <c r="U1113" s="6"/>
      <c r="V1113" s="6"/>
      <c r="W1113" s="7" t="str">
        <f t="shared" si="34"/>
        <v/>
      </c>
      <c r="X1113" s="8" t="str">
        <f t="shared" si="35"/>
        <v/>
      </c>
      <c r="AG1113" s="9"/>
      <c r="AH1113" s="10"/>
    </row>
    <row r="1114" spans="3:34" x14ac:dyDescent="0.35">
      <c r="C1114" s="5"/>
      <c r="D1114" s="5"/>
      <c r="T1114" s="6"/>
      <c r="U1114" s="6"/>
      <c r="V1114" s="6"/>
      <c r="W1114" s="7" t="str">
        <f t="shared" si="34"/>
        <v/>
      </c>
      <c r="X1114" s="8" t="str">
        <f t="shared" si="35"/>
        <v/>
      </c>
      <c r="AG1114" s="9"/>
      <c r="AH1114" s="10"/>
    </row>
    <row r="1115" spans="3:34" x14ac:dyDescent="0.35">
      <c r="C1115" s="5"/>
      <c r="D1115" s="5"/>
      <c r="T1115" s="6"/>
      <c r="U1115" s="6"/>
      <c r="V1115" s="6"/>
      <c r="W1115" s="7" t="str">
        <f t="shared" si="34"/>
        <v/>
      </c>
      <c r="X1115" s="8" t="str">
        <f t="shared" si="35"/>
        <v/>
      </c>
      <c r="AG1115" s="9"/>
      <c r="AH1115" s="10"/>
    </row>
    <row r="1116" spans="3:34" x14ac:dyDescent="0.35">
      <c r="C1116" s="5"/>
      <c r="D1116" s="5"/>
      <c r="T1116" s="6"/>
      <c r="U1116" s="6"/>
      <c r="V1116" s="6"/>
      <c r="W1116" s="7" t="str">
        <f t="shared" si="34"/>
        <v/>
      </c>
      <c r="X1116" s="8" t="str">
        <f t="shared" si="35"/>
        <v/>
      </c>
      <c r="AG1116" s="9"/>
      <c r="AH1116" s="10"/>
    </row>
    <row r="1117" spans="3:34" x14ac:dyDescent="0.35">
      <c r="C1117" s="5"/>
      <c r="D1117" s="5"/>
      <c r="T1117" s="6"/>
      <c r="U1117" s="6"/>
      <c r="V1117" s="6"/>
      <c r="W1117" s="7" t="str">
        <f t="shared" si="34"/>
        <v/>
      </c>
      <c r="X1117" s="8" t="str">
        <f t="shared" si="35"/>
        <v/>
      </c>
      <c r="AG1117" s="9"/>
      <c r="AH1117" s="10"/>
    </row>
    <row r="1118" spans="3:34" x14ac:dyDescent="0.35">
      <c r="C1118" s="5"/>
      <c r="D1118" s="5"/>
      <c r="T1118" s="6"/>
      <c r="U1118" s="6"/>
      <c r="V1118" s="6"/>
      <c r="W1118" s="7" t="str">
        <f t="shared" si="34"/>
        <v/>
      </c>
      <c r="X1118" s="8" t="str">
        <f t="shared" si="35"/>
        <v/>
      </c>
      <c r="AG1118" s="9"/>
      <c r="AH1118" s="10"/>
    </row>
    <row r="1119" spans="3:34" x14ac:dyDescent="0.35">
      <c r="C1119" s="5"/>
      <c r="D1119" s="5"/>
      <c r="T1119" s="6"/>
      <c r="U1119" s="6"/>
      <c r="V1119" s="6"/>
      <c r="W1119" s="7" t="str">
        <f t="shared" si="34"/>
        <v/>
      </c>
      <c r="X1119" s="8" t="str">
        <f t="shared" si="35"/>
        <v/>
      </c>
      <c r="AG1119" s="9"/>
      <c r="AH1119" s="10"/>
    </row>
    <row r="1120" spans="3:34" x14ac:dyDescent="0.35">
      <c r="C1120" s="5"/>
      <c r="D1120" s="5"/>
      <c r="T1120" s="6"/>
      <c r="U1120" s="6"/>
      <c r="V1120" s="6"/>
      <c r="W1120" s="7" t="str">
        <f t="shared" si="34"/>
        <v/>
      </c>
      <c r="X1120" s="8" t="str">
        <f t="shared" si="35"/>
        <v/>
      </c>
      <c r="AG1120" s="9"/>
      <c r="AH1120" s="10"/>
    </row>
    <row r="1121" spans="3:34" x14ac:dyDescent="0.35">
      <c r="C1121" s="5"/>
      <c r="D1121" s="5"/>
      <c r="T1121" s="6"/>
      <c r="U1121" s="6"/>
      <c r="V1121" s="6"/>
      <c r="W1121" s="7" t="str">
        <f t="shared" si="34"/>
        <v/>
      </c>
      <c r="X1121" s="8" t="str">
        <f t="shared" si="35"/>
        <v/>
      </c>
      <c r="AG1121" s="9"/>
      <c r="AH1121" s="10"/>
    </row>
    <row r="1122" spans="3:34" x14ac:dyDescent="0.35">
      <c r="C1122" s="5"/>
      <c r="D1122" s="5"/>
      <c r="T1122" s="6"/>
      <c r="U1122" s="6"/>
      <c r="V1122" s="6"/>
      <c r="W1122" s="7" t="str">
        <f t="shared" si="34"/>
        <v/>
      </c>
      <c r="X1122" s="8" t="str">
        <f t="shared" si="35"/>
        <v/>
      </c>
      <c r="AG1122" s="9"/>
      <c r="AH1122" s="10"/>
    </row>
    <row r="1123" spans="3:34" x14ac:dyDescent="0.35">
      <c r="C1123" s="5"/>
      <c r="D1123" s="5"/>
      <c r="T1123" s="6"/>
      <c r="U1123" s="6"/>
      <c r="V1123" s="6"/>
      <c r="W1123" s="7" t="str">
        <f t="shared" si="34"/>
        <v/>
      </c>
      <c r="X1123" s="8" t="str">
        <f t="shared" si="35"/>
        <v/>
      </c>
      <c r="AG1123" s="9"/>
      <c r="AH1123" s="10"/>
    </row>
    <row r="1124" spans="3:34" x14ac:dyDescent="0.35">
      <c r="C1124" s="5"/>
      <c r="D1124" s="5"/>
      <c r="T1124" s="6"/>
      <c r="U1124" s="6"/>
      <c r="V1124" s="6"/>
      <c r="W1124" s="7" t="str">
        <f t="shared" si="34"/>
        <v/>
      </c>
      <c r="X1124" s="8" t="str">
        <f t="shared" si="35"/>
        <v/>
      </c>
      <c r="AG1124" s="9"/>
      <c r="AH1124" s="10"/>
    </row>
    <row r="1125" spans="3:34" x14ac:dyDescent="0.35">
      <c r="C1125" s="5"/>
      <c r="D1125" s="5"/>
      <c r="T1125" s="6"/>
      <c r="U1125" s="6"/>
      <c r="V1125" s="6"/>
      <c r="W1125" s="7" t="str">
        <f t="shared" si="34"/>
        <v/>
      </c>
      <c r="X1125" s="8" t="str">
        <f t="shared" si="35"/>
        <v/>
      </c>
      <c r="AG1125" s="9"/>
      <c r="AH1125" s="10"/>
    </row>
    <row r="1126" spans="3:34" x14ac:dyDescent="0.35">
      <c r="C1126" s="5"/>
      <c r="D1126" s="5"/>
      <c r="T1126" s="6"/>
      <c r="U1126" s="6"/>
      <c r="V1126" s="6"/>
      <c r="W1126" s="7" t="str">
        <f t="shared" si="34"/>
        <v/>
      </c>
      <c r="X1126" s="8" t="str">
        <f t="shared" si="35"/>
        <v/>
      </c>
      <c r="AG1126" s="9"/>
      <c r="AH1126" s="10"/>
    </row>
    <row r="1127" spans="3:34" x14ac:dyDescent="0.35">
      <c r="C1127" s="5"/>
      <c r="D1127" s="5"/>
      <c r="T1127" s="6"/>
      <c r="U1127" s="6"/>
      <c r="V1127" s="6"/>
      <c r="W1127" s="7" t="str">
        <f t="shared" si="34"/>
        <v/>
      </c>
      <c r="X1127" s="8" t="str">
        <f t="shared" si="35"/>
        <v/>
      </c>
      <c r="AG1127" s="9"/>
      <c r="AH1127" s="10"/>
    </row>
    <row r="1128" spans="3:34" x14ac:dyDescent="0.35">
      <c r="C1128" s="5"/>
      <c r="D1128" s="5"/>
      <c r="T1128" s="6"/>
      <c r="U1128" s="6"/>
      <c r="V1128" s="6"/>
      <c r="W1128" s="7" t="str">
        <f t="shared" si="34"/>
        <v/>
      </c>
      <c r="X1128" s="8" t="str">
        <f t="shared" si="35"/>
        <v/>
      </c>
      <c r="AG1128" s="9"/>
      <c r="AH1128" s="10"/>
    </row>
    <row r="1129" spans="3:34" x14ac:dyDescent="0.35">
      <c r="C1129" s="5"/>
      <c r="D1129" s="5"/>
      <c r="T1129" s="6"/>
      <c r="U1129" s="6"/>
      <c r="V1129" s="6"/>
      <c r="W1129" s="7" t="str">
        <f t="shared" si="34"/>
        <v/>
      </c>
      <c r="X1129" s="8" t="str">
        <f t="shared" si="35"/>
        <v/>
      </c>
      <c r="AG1129" s="9"/>
      <c r="AH1129" s="10"/>
    </row>
    <row r="1130" spans="3:34" x14ac:dyDescent="0.35">
      <c r="C1130" s="5"/>
      <c r="D1130" s="5"/>
      <c r="T1130" s="6"/>
      <c r="U1130" s="6"/>
      <c r="V1130" s="6"/>
      <c r="W1130" s="7" t="str">
        <f t="shared" si="34"/>
        <v/>
      </c>
      <c r="X1130" s="8" t="str">
        <f t="shared" si="35"/>
        <v/>
      </c>
      <c r="AG1130" s="9"/>
      <c r="AH1130" s="10"/>
    </row>
    <row r="1131" spans="3:34" x14ac:dyDescent="0.35">
      <c r="C1131" s="5"/>
      <c r="D1131" s="5"/>
      <c r="T1131" s="6"/>
      <c r="U1131" s="6"/>
      <c r="V1131" s="6"/>
      <c r="W1131" s="7" t="str">
        <f t="shared" si="34"/>
        <v/>
      </c>
      <c r="X1131" s="8" t="str">
        <f t="shared" si="35"/>
        <v/>
      </c>
      <c r="AG1131" s="9"/>
      <c r="AH1131" s="10"/>
    </row>
    <row r="1132" spans="3:34" x14ac:dyDescent="0.35">
      <c r="C1132" s="5"/>
      <c r="D1132" s="5"/>
      <c r="T1132" s="6"/>
      <c r="U1132" s="6"/>
      <c r="V1132" s="6"/>
      <c r="W1132" s="7" t="str">
        <f t="shared" si="34"/>
        <v/>
      </c>
      <c r="X1132" s="8" t="str">
        <f t="shared" si="35"/>
        <v/>
      </c>
      <c r="AG1132" s="9"/>
      <c r="AH1132" s="10"/>
    </row>
    <row r="1133" spans="3:34" x14ac:dyDescent="0.35">
      <c r="C1133" s="5"/>
      <c r="D1133" s="5"/>
      <c r="T1133" s="6"/>
      <c r="U1133" s="6"/>
      <c r="V1133" s="6"/>
      <c r="W1133" s="7" t="str">
        <f t="shared" si="34"/>
        <v/>
      </c>
      <c r="X1133" s="8" t="str">
        <f t="shared" si="35"/>
        <v/>
      </c>
      <c r="AG1133" s="9"/>
      <c r="AH1133" s="10"/>
    </row>
    <row r="1134" spans="3:34" x14ac:dyDescent="0.35">
      <c r="C1134" s="5"/>
      <c r="D1134" s="5"/>
      <c r="T1134" s="6"/>
      <c r="U1134" s="6"/>
      <c r="V1134" s="6"/>
      <c r="W1134" s="7" t="str">
        <f t="shared" si="34"/>
        <v/>
      </c>
      <c r="X1134" s="8" t="str">
        <f t="shared" si="35"/>
        <v/>
      </c>
      <c r="AG1134" s="9"/>
      <c r="AH1134" s="10"/>
    </row>
    <row r="1135" spans="3:34" x14ac:dyDescent="0.35">
      <c r="C1135" s="5"/>
      <c r="D1135" s="5"/>
      <c r="T1135" s="6"/>
      <c r="U1135" s="6"/>
      <c r="V1135" s="6"/>
      <c r="W1135" s="7" t="str">
        <f t="shared" si="34"/>
        <v/>
      </c>
      <c r="X1135" s="8" t="str">
        <f t="shared" si="35"/>
        <v/>
      </c>
      <c r="AG1135" s="9"/>
      <c r="AH1135" s="10"/>
    </row>
    <row r="1136" spans="3:34" x14ac:dyDescent="0.35">
      <c r="C1136" s="5"/>
      <c r="D1136" s="5"/>
      <c r="T1136" s="6"/>
      <c r="U1136" s="6"/>
      <c r="V1136" s="6"/>
      <c r="W1136" s="7" t="str">
        <f t="shared" si="34"/>
        <v/>
      </c>
      <c r="X1136" s="8" t="str">
        <f t="shared" si="35"/>
        <v/>
      </c>
      <c r="AG1136" s="9"/>
      <c r="AH1136" s="10"/>
    </row>
    <row r="1137" spans="3:34" x14ac:dyDescent="0.35">
      <c r="C1137" s="5"/>
      <c r="D1137" s="5"/>
      <c r="T1137" s="6"/>
      <c r="U1137" s="6"/>
      <c r="V1137" s="6"/>
      <c r="W1137" s="7" t="str">
        <f t="shared" si="34"/>
        <v/>
      </c>
      <c r="X1137" s="8" t="str">
        <f t="shared" si="35"/>
        <v/>
      </c>
      <c r="AG1137" s="9"/>
      <c r="AH1137" s="10"/>
    </row>
    <row r="1138" spans="3:34" x14ac:dyDescent="0.35">
      <c r="C1138" s="5"/>
      <c r="D1138" s="5"/>
      <c r="T1138" s="6"/>
      <c r="U1138" s="6"/>
      <c r="V1138" s="6"/>
      <c r="W1138" s="7" t="str">
        <f t="shared" si="34"/>
        <v/>
      </c>
      <c r="X1138" s="8" t="str">
        <f t="shared" si="35"/>
        <v/>
      </c>
      <c r="AG1138" s="9"/>
      <c r="AH1138" s="10"/>
    </row>
    <row r="1139" spans="3:34" x14ac:dyDescent="0.35">
      <c r="C1139" s="5"/>
      <c r="D1139" s="5"/>
      <c r="T1139" s="6"/>
      <c r="U1139" s="6"/>
      <c r="V1139" s="6"/>
      <c r="W1139" s="7" t="str">
        <f t="shared" si="34"/>
        <v/>
      </c>
      <c r="X1139" s="8" t="str">
        <f t="shared" si="35"/>
        <v/>
      </c>
      <c r="AG1139" s="9"/>
      <c r="AH1139" s="10"/>
    </row>
    <row r="1140" spans="3:34" x14ac:dyDescent="0.35">
      <c r="C1140" s="5"/>
      <c r="D1140" s="5"/>
      <c r="T1140" s="6"/>
      <c r="U1140" s="6"/>
      <c r="V1140" s="6"/>
      <c r="W1140" s="7" t="str">
        <f t="shared" si="34"/>
        <v/>
      </c>
      <c r="X1140" s="8" t="str">
        <f t="shared" si="35"/>
        <v/>
      </c>
      <c r="AG1140" s="9"/>
      <c r="AH1140" s="10"/>
    </row>
    <row r="1141" spans="3:34" x14ac:dyDescent="0.35">
      <c r="C1141" s="5"/>
      <c r="D1141" s="5"/>
      <c r="T1141" s="6"/>
      <c r="U1141" s="6"/>
      <c r="V1141" s="6"/>
      <c r="W1141" s="7" t="str">
        <f t="shared" si="34"/>
        <v/>
      </c>
      <c r="X1141" s="8" t="str">
        <f t="shared" si="35"/>
        <v/>
      </c>
      <c r="AG1141" s="9"/>
      <c r="AH1141" s="10"/>
    </row>
    <row r="1142" spans="3:34" x14ac:dyDescent="0.35">
      <c r="C1142" s="5"/>
      <c r="D1142" s="5"/>
      <c r="T1142" s="6"/>
      <c r="U1142" s="6"/>
      <c r="V1142" s="6"/>
      <c r="W1142" s="7" t="str">
        <f t="shared" si="34"/>
        <v/>
      </c>
      <c r="X1142" s="8" t="str">
        <f t="shared" si="35"/>
        <v/>
      </c>
      <c r="AG1142" s="9"/>
      <c r="AH1142" s="10"/>
    </row>
    <row r="1143" spans="3:34" x14ac:dyDescent="0.35">
      <c r="C1143" s="5"/>
      <c r="D1143" s="5"/>
      <c r="T1143" s="6"/>
      <c r="U1143" s="6"/>
      <c r="V1143" s="6"/>
      <c r="W1143" s="7" t="str">
        <f t="shared" si="34"/>
        <v/>
      </c>
      <c r="X1143" s="8" t="str">
        <f t="shared" si="35"/>
        <v/>
      </c>
      <c r="AG1143" s="9"/>
      <c r="AH1143" s="10"/>
    </row>
    <row r="1144" spans="3:34" x14ac:dyDescent="0.35">
      <c r="C1144" s="5"/>
      <c r="D1144" s="5"/>
      <c r="T1144" s="6"/>
      <c r="U1144" s="6"/>
      <c r="V1144" s="6"/>
      <c r="W1144" s="7" t="str">
        <f t="shared" si="34"/>
        <v/>
      </c>
      <c r="X1144" s="8" t="str">
        <f t="shared" si="35"/>
        <v/>
      </c>
      <c r="AG1144" s="9"/>
      <c r="AH1144" s="10"/>
    </row>
    <row r="1145" spans="3:34" x14ac:dyDescent="0.35">
      <c r="C1145" s="5"/>
      <c r="D1145" s="5"/>
      <c r="T1145" s="6"/>
      <c r="U1145" s="6"/>
      <c r="V1145" s="6"/>
      <c r="W1145" s="7" t="str">
        <f t="shared" si="34"/>
        <v/>
      </c>
      <c r="X1145" s="8" t="str">
        <f t="shared" si="35"/>
        <v/>
      </c>
      <c r="AG1145" s="9"/>
      <c r="AH1145" s="10"/>
    </row>
    <row r="1146" spans="3:34" x14ac:dyDescent="0.35">
      <c r="C1146" s="5"/>
      <c r="D1146" s="5"/>
      <c r="T1146" s="6"/>
      <c r="U1146" s="6"/>
      <c r="V1146" s="6"/>
      <c r="W1146" s="7" t="str">
        <f t="shared" si="34"/>
        <v/>
      </c>
      <c r="X1146" s="8" t="str">
        <f t="shared" si="35"/>
        <v/>
      </c>
      <c r="AG1146" s="9"/>
      <c r="AH1146" s="10"/>
    </row>
    <row r="1147" spans="3:34" x14ac:dyDescent="0.35">
      <c r="C1147" s="5"/>
      <c r="D1147" s="5"/>
      <c r="T1147" s="6"/>
      <c r="U1147" s="6"/>
      <c r="V1147" s="6"/>
      <c r="W1147" s="7" t="str">
        <f t="shared" si="34"/>
        <v/>
      </c>
      <c r="X1147" s="8" t="str">
        <f t="shared" si="35"/>
        <v/>
      </c>
      <c r="AG1147" s="9"/>
      <c r="AH1147" s="10"/>
    </row>
    <row r="1148" spans="3:34" x14ac:dyDescent="0.35">
      <c r="C1148" s="5"/>
      <c r="D1148" s="5"/>
      <c r="T1148" s="6"/>
      <c r="U1148" s="6"/>
      <c r="V1148" s="6"/>
      <c r="W1148" s="7" t="str">
        <f t="shared" si="34"/>
        <v/>
      </c>
      <c r="X1148" s="8" t="str">
        <f t="shared" si="35"/>
        <v/>
      </c>
      <c r="AG1148" s="9"/>
      <c r="AH1148" s="10"/>
    </row>
    <row r="1149" spans="3:34" x14ac:dyDescent="0.35">
      <c r="C1149" s="5"/>
      <c r="D1149" s="5"/>
      <c r="T1149" s="6"/>
      <c r="U1149" s="6"/>
      <c r="V1149" s="6"/>
      <c r="W1149" s="7" t="str">
        <f t="shared" si="34"/>
        <v/>
      </c>
      <c r="X1149" s="8" t="str">
        <f t="shared" si="35"/>
        <v/>
      </c>
      <c r="AG1149" s="9"/>
      <c r="AH1149" s="10"/>
    </row>
    <row r="1150" spans="3:34" x14ac:dyDescent="0.35">
      <c r="C1150" s="5"/>
      <c r="D1150" s="5"/>
      <c r="T1150" s="6"/>
      <c r="U1150" s="6"/>
      <c r="V1150" s="6"/>
      <c r="W1150" s="7" t="str">
        <f t="shared" si="34"/>
        <v/>
      </c>
      <c r="X1150" s="8" t="str">
        <f t="shared" si="35"/>
        <v/>
      </c>
      <c r="AG1150" s="9"/>
      <c r="AH1150" s="10"/>
    </row>
    <row r="1151" spans="3:34" x14ac:dyDescent="0.35">
      <c r="C1151" s="5"/>
      <c r="D1151" s="5"/>
      <c r="T1151" s="6"/>
      <c r="U1151" s="6"/>
      <c r="V1151" s="6"/>
      <c r="W1151" s="7" t="str">
        <f t="shared" si="34"/>
        <v/>
      </c>
      <c r="X1151" s="8" t="str">
        <f t="shared" si="35"/>
        <v/>
      </c>
      <c r="AG1151" s="9"/>
      <c r="AH1151" s="10"/>
    </row>
    <row r="1152" spans="3:34" x14ac:dyDescent="0.35">
      <c r="C1152" s="5"/>
      <c r="D1152" s="5"/>
      <c r="T1152" s="6"/>
      <c r="U1152" s="6"/>
      <c r="V1152" s="6"/>
      <c r="W1152" s="7" t="str">
        <f t="shared" si="34"/>
        <v/>
      </c>
      <c r="X1152" s="8" t="str">
        <f t="shared" si="35"/>
        <v/>
      </c>
      <c r="AG1152" s="9"/>
      <c r="AH1152" s="10"/>
    </row>
    <row r="1153" spans="3:34" x14ac:dyDescent="0.35">
      <c r="C1153" s="5"/>
      <c r="D1153" s="5"/>
      <c r="T1153" s="6"/>
      <c r="U1153" s="6"/>
      <c r="V1153" s="6"/>
      <c r="W1153" s="7" t="str">
        <f t="shared" si="34"/>
        <v/>
      </c>
      <c r="X1153" s="8" t="str">
        <f t="shared" si="35"/>
        <v/>
      </c>
      <c r="AG1153" s="9"/>
      <c r="AH1153" s="10"/>
    </row>
    <row r="1154" spans="3:34" x14ac:dyDescent="0.35">
      <c r="C1154" s="5"/>
      <c r="D1154" s="5"/>
      <c r="T1154" s="6"/>
      <c r="U1154" s="6"/>
      <c r="V1154" s="6"/>
      <c r="W1154" s="7" t="str">
        <f t="shared" ref="W1154:W1217" si="36">IF($U1154&gt;0,$U1154-$V1154,"")</f>
        <v/>
      </c>
      <c r="X1154" s="8" t="str">
        <f t="shared" ref="X1154:X1217" si="37">IF($U1154&gt;0,($U1154-$V1154)/$U1154,"")</f>
        <v/>
      </c>
      <c r="AG1154" s="9"/>
      <c r="AH1154" s="10"/>
    </row>
    <row r="1155" spans="3:34" x14ac:dyDescent="0.35">
      <c r="C1155" s="5"/>
      <c r="D1155" s="5"/>
      <c r="T1155" s="6"/>
      <c r="U1155" s="6"/>
      <c r="V1155" s="6"/>
      <c r="W1155" s="7" t="str">
        <f t="shared" si="36"/>
        <v/>
      </c>
      <c r="X1155" s="8" t="str">
        <f t="shared" si="37"/>
        <v/>
      </c>
      <c r="AG1155" s="9"/>
      <c r="AH1155" s="10"/>
    </row>
    <row r="1156" spans="3:34" x14ac:dyDescent="0.35">
      <c r="C1156" s="5"/>
      <c r="D1156" s="5"/>
      <c r="T1156" s="6"/>
      <c r="U1156" s="6"/>
      <c r="V1156" s="6"/>
      <c r="W1156" s="7" t="str">
        <f t="shared" si="36"/>
        <v/>
      </c>
      <c r="X1156" s="8" t="str">
        <f t="shared" si="37"/>
        <v/>
      </c>
      <c r="AG1156" s="9"/>
      <c r="AH1156" s="10"/>
    </row>
    <row r="1157" spans="3:34" x14ac:dyDescent="0.35">
      <c r="C1157" s="5"/>
      <c r="D1157" s="5"/>
      <c r="T1157" s="6"/>
      <c r="U1157" s="6"/>
      <c r="V1157" s="6"/>
      <c r="W1157" s="7" t="str">
        <f t="shared" si="36"/>
        <v/>
      </c>
      <c r="X1157" s="8" t="str">
        <f t="shared" si="37"/>
        <v/>
      </c>
      <c r="AG1157" s="9"/>
      <c r="AH1157" s="10"/>
    </row>
    <row r="1158" spans="3:34" x14ac:dyDescent="0.35">
      <c r="C1158" s="5"/>
      <c r="D1158" s="5"/>
      <c r="T1158" s="6"/>
      <c r="U1158" s="6"/>
      <c r="V1158" s="6"/>
      <c r="W1158" s="7" t="str">
        <f t="shared" si="36"/>
        <v/>
      </c>
      <c r="X1158" s="8" t="str">
        <f t="shared" si="37"/>
        <v/>
      </c>
      <c r="AG1158" s="9"/>
      <c r="AH1158" s="10"/>
    </row>
    <row r="1159" spans="3:34" x14ac:dyDescent="0.35">
      <c r="C1159" s="5"/>
      <c r="D1159" s="5"/>
      <c r="T1159" s="6"/>
      <c r="U1159" s="6"/>
      <c r="V1159" s="6"/>
      <c r="W1159" s="7" t="str">
        <f t="shared" si="36"/>
        <v/>
      </c>
      <c r="X1159" s="8" t="str">
        <f t="shared" si="37"/>
        <v/>
      </c>
      <c r="AG1159" s="9"/>
      <c r="AH1159" s="10"/>
    </row>
    <row r="1160" spans="3:34" x14ac:dyDescent="0.35">
      <c r="C1160" s="5"/>
      <c r="D1160" s="5"/>
      <c r="T1160" s="6"/>
      <c r="U1160" s="6"/>
      <c r="V1160" s="6"/>
      <c r="W1160" s="7" t="str">
        <f t="shared" si="36"/>
        <v/>
      </c>
      <c r="X1160" s="8" t="str">
        <f t="shared" si="37"/>
        <v/>
      </c>
      <c r="AG1160" s="9"/>
      <c r="AH1160" s="10"/>
    </row>
    <row r="1161" spans="3:34" x14ac:dyDescent="0.35">
      <c r="C1161" s="5"/>
      <c r="D1161" s="5"/>
      <c r="T1161" s="6"/>
      <c r="U1161" s="6"/>
      <c r="V1161" s="6"/>
      <c r="W1161" s="7" t="str">
        <f t="shared" si="36"/>
        <v/>
      </c>
      <c r="X1161" s="8" t="str">
        <f t="shared" si="37"/>
        <v/>
      </c>
      <c r="AG1161" s="9"/>
      <c r="AH1161" s="10"/>
    </row>
    <row r="1162" spans="3:34" x14ac:dyDescent="0.35">
      <c r="C1162" s="5"/>
      <c r="D1162" s="5"/>
      <c r="T1162" s="6"/>
      <c r="U1162" s="6"/>
      <c r="V1162" s="6"/>
      <c r="W1162" s="7" t="str">
        <f t="shared" si="36"/>
        <v/>
      </c>
      <c r="X1162" s="8" t="str">
        <f t="shared" si="37"/>
        <v/>
      </c>
      <c r="AG1162" s="9"/>
      <c r="AH1162" s="10"/>
    </row>
    <row r="1163" spans="3:34" x14ac:dyDescent="0.35">
      <c r="C1163" s="5"/>
      <c r="D1163" s="5"/>
      <c r="T1163" s="6"/>
      <c r="U1163" s="6"/>
      <c r="V1163" s="6"/>
      <c r="W1163" s="7" t="str">
        <f t="shared" si="36"/>
        <v/>
      </c>
      <c r="X1163" s="8" t="str">
        <f t="shared" si="37"/>
        <v/>
      </c>
      <c r="AG1163" s="9"/>
      <c r="AH1163" s="10"/>
    </row>
    <row r="1164" spans="3:34" x14ac:dyDescent="0.35">
      <c r="C1164" s="5"/>
      <c r="D1164" s="5"/>
      <c r="T1164" s="6"/>
      <c r="U1164" s="6"/>
      <c r="V1164" s="6"/>
      <c r="W1164" s="7" t="str">
        <f t="shared" si="36"/>
        <v/>
      </c>
      <c r="X1164" s="8" t="str">
        <f t="shared" si="37"/>
        <v/>
      </c>
      <c r="AG1164" s="9"/>
      <c r="AH1164" s="10"/>
    </row>
    <row r="1165" spans="3:34" x14ac:dyDescent="0.35">
      <c r="C1165" s="5"/>
      <c r="D1165" s="5"/>
      <c r="T1165" s="6"/>
      <c r="U1165" s="6"/>
      <c r="V1165" s="6"/>
      <c r="W1165" s="7" t="str">
        <f t="shared" si="36"/>
        <v/>
      </c>
      <c r="X1165" s="8" t="str">
        <f t="shared" si="37"/>
        <v/>
      </c>
      <c r="AG1165" s="9"/>
      <c r="AH1165" s="10"/>
    </row>
    <row r="1166" spans="3:34" x14ac:dyDescent="0.35">
      <c r="C1166" s="5"/>
      <c r="D1166" s="5"/>
      <c r="T1166" s="6"/>
      <c r="U1166" s="6"/>
      <c r="V1166" s="6"/>
      <c r="W1166" s="7" t="str">
        <f t="shared" si="36"/>
        <v/>
      </c>
      <c r="X1166" s="8" t="str">
        <f t="shared" si="37"/>
        <v/>
      </c>
      <c r="AG1166" s="9"/>
      <c r="AH1166" s="10"/>
    </row>
    <row r="1167" spans="3:34" x14ac:dyDescent="0.35">
      <c r="C1167" s="5"/>
      <c r="D1167" s="5"/>
      <c r="T1167" s="6"/>
      <c r="U1167" s="6"/>
      <c r="V1167" s="6"/>
      <c r="W1167" s="7" t="str">
        <f t="shared" si="36"/>
        <v/>
      </c>
      <c r="X1167" s="8" t="str">
        <f t="shared" si="37"/>
        <v/>
      </c>
      <c r="AG1167" s="9"/>
      <c r="AH1167" s="10"/>
    </row>
    <row r="1168" spans="3:34" x14ac:dyDescent="0.35">
      <c r="C1168" s="5"/>
      <c r="D1168" s="5"/>
      <c r="T1168" s="6"/>
      <c r="U1168" s="6"/>
      <c r="V1168" s="6"/>
      <c r="W1168" s="7" t="str">
        <f t="shared" si="36"/>
        <v/>
      </c>
      <c r="X1168" s="8" t="str">
        <f t="shared" si="37"/>
        <v/>
      </c>
      <c r="AG1168" s="9"/>
      <c r="AH1168" s="10"/>
    </row>
    <row r="1169" spans="3:34" x14ac:dyDescent="0.35">
      <c r="C1169" s="5"/>
      <c r="D1169" s="5"/>
      <c r="T1169" s="6"/>
      <c r="U1169" s="6"/>
      <c r="V1169" s="6"/>
      <c r="W1169" s="7" t="str">
        <f t="shared" si="36"/>
        <v/>
      </c>
      <c r="X1169" s="8" t="str">
        <f t="shared" si="37"/>
        <v/>
      </c>
      <c r="AG1169" s="9"/>
      <c r="AH1169" s="10"/>
    </row>
    <row r="1170" spans="3:34" x14ac:dyDescent="0.35">
      <c r="C1170" s="5"/>
      <c r="D1170" s="5"/>
      <c r="T1170" s="6"/>
      <c r="U1170" s="6"/>
      <c r="V1170" s="6"/>
      <c r="W1170" s="7" t="str">
        <f t="shared" si="36"/>
        <v/>
      </c>
      <c r="X1170" s="8" t="str">
        <f t="shared" si="37"/>
        <v/>
      </c>
      <c r="AG1170" s="9"/>
      <c r="AH1170" s="10"/>
    </row>
    <row r="1171" spans="3:34" x14ac:dyDescent="0.35">
      <c r="C1171" s="5"/>
      <c r="D1171" s="5"/>
      <c r="T1171" s="6"/>
      <c r="U1171" s="6"/>
      <c r="V1171" s="6"/>
      <c r="W1171" s="7" t="str">
        <f t="shared" si="36"/>
        <v/>
      </c>
      <c r="X1171" s="8" t="str">
        <f t="shared" si="37"/>
        <v/>
      </c>
      <c r="AG1171" s="9"/>
      <c r="AH1171" s="10"/>
    </row>
    <row r="1172" spans="3:34" x14ac:dyDescent="0.35">
      <c r="C1172" s="5"/>
      <c r="D1172" s="5"/>
      <c r="T1172" s="6"/>
      <c r="U1172" s="6"/>
      <c r="V1172" s="6"/>
      <c r="W1172" s="7" t="str">
        <f t="shared" si="36"/>
        <v/>
      </c>
      <c r="X1172" s="8" t="str">
        <f t="shared" si="37"/>
        <v/>
      </c>
      <c r="AG1172" s="9"/>
      <c r="AH1172" s="10"/>
    </row>
    <row r="1173" spans="3:34" x14ac:dyDescent="0.35">
      <c r="C1173" s="5"/>
      <c r="D1173" s="5"/>
      <c r="T1173" s="6"/>
      <c r="U1173" s="6"/>
      <c r="V1173" s="6"/>
      <c r="W1173" s="7" t="str">
        <f t="shared" si="36"/>
        <v/>
      </c>
      <c r="X1173" s="8" t="str">
        <f t="shared" si="37"/>
        <v/>
      </c>
      <c r="AG1173" s="9"/>
      <c r="AH1173" s="10"/>
    </row>
    <row r="1174" spans="3:34" x14ac:dyDescent="0.35">
      <c r="C1174" s="5"/>
      <c r="D1174" s="5"/>
      <c r="T1174" s="6"/>
      <c r="U1174" s="6"/>
      <c r="V1174" s="6"/>
      <c r="W1174" s="7" t="str">
        <f t="shared" si="36"/>
        <v/>
      </c>
      <c r="X1174" s="8" t="str">
        <f t="shared" si="37"/>
        <v/>
      </c>
      <c r="AG1174" s="9"/>
      <c r="AH1174" s="10"/>
    </row>
    <row r="1175" spans="3:34" x14ac:dyDescent="0.35">
      <c r="C1175" s="5"/>
      <c r="D1175" s="5"/>
      <c r="T1175" s="6"/>
      <c r="U1175" s="6"/>
      <c r="V1175" s="6"/>
      <c r="W1175" s="7" t="str">
        <f t="shared" si="36"/>
        <v/>
      </c>
      <c r="X1175" s="8" t="str">
        <f t="shared" si="37"/>
        <v/>
      </c>
      <c r="AG1175" s="9"/>
      <c r="AH1175" s="10"/>
    </row>
    <row r="1176" spans="3:34" x14ac:dyDescent="0.35">
      <c r="C1176" s="5"/>
      <c r="D1176" s="5"/>
      <c r="T1176" s="6"/>
      <c r="U1176" s="6"/>
      <c r="V1176" s="6"/>
      <c r="W1176" s="7" t="str">
        <f t="shared" si="36"/>
        <v/>
      </c>
      <c r="X1176" s="8" t="str">
        <f t="shared" si="37"/>
        <v/>
      </c>
      <c r="AG1176" s="9"/>
      <c r="AH1176" s="10"/>
    </row>
    <row r="1177" spans="3:34" x14ac:dyDescent="0.35">
      <c r="C1177" s="5"/>
      <c r="D1177" s="5"/>
      <c r="T1177" s="6"/>
      <c r="U1177" s="6"/>
      <c r="V1177" s="6"/>
      <c r="W1177" s="7" t="str">
        <f t="shared" si="36"/>
        <v/>
      </c>
      <c r="X1177" s="8" t="str">
        <f t="shared" si="37"/>
        <v/>
      </c>
      <c r="AG1177" s="9"/>
      <c r="AH1177" s="10"/>
    </row>
    <row r="1178" spans="3:34" x14ac:dyDescent="0.35">
      <c r="C1178" s="5"/>
      <c r="D1178" s="5"/>
      <c r="T1178" s="6"/>
      <c r="U1178" s="6"/>
      <c r="V1178" s="6"/>
      <c r="W1178" s="7" t="str">
        <f t="shared" si="36"/>
        <v/>
      </c>
      <c r="X1178" s="8" t="str">
        <f t="shared" si="37"/>
        <v/>
      </c>
      <c r="AG1178" s="9"/>
      <c r="AH1178" s="10"/>
    </row>
    <row r="1179" spans="3:34" x14ac:dyDescent="0.35">
      <c r="C1179" s="5"/>
      <c r="D1179" s="5"/>
      <c r="T1179" s="6"/>
      <c r="U1179" s="6"/>
      <c r="V1179" s="6"/>
      <c r="W1179" s="7" t="str">
        <f t="shared" si="36"/>
        <v/>
      </c>
      <c r="X1179" s="8" t="str">
        <f t="shared" si="37"/>
        <v/>
      </c>
      <c r="AG1179" s="9"/>
      <c r="AH1179" s="10"/>
    </row>
    <row r="1180" spans="3:34" x14ac:dyDescent="0.35">
      <c r="C1180" s="5"/>
      <c r="D1180" s="5"/>
      <c r="T1180" s="6"/>
      <c r="U1180" s="6"/>
      <c r="V1180" s="6"/>
      <c r="W1180" s="7" t="str">
        <f t="shared" si="36"/>
        <v/>
      </c>
      <c r="X1180" s="8" t="str">
        <f t="shared" si="37"/>
        <v/>
      </c>
      <c r="AG1180" s="9"/>
      <c r="AH1180" s="10"/>
    </row>
    <row r="1181" spans="3:34" x14ac:dyDescent="0.35">
      <c r="C1181" s="5"/>
      <c r="D1181" s="5"/>
      <c r="T1181" s="6"/>
      <c r="U1181" s="6"/>
      <c r="V1181" s="6"/>
      <c r="W1181" s="7" t="str">
        <f t="shared" si="36"/>
        <v/>
      </c>
      <c r="X1181" s="8" t="str">
        <f t="shared" si="37"/>
        <v/>
      </c>
      <c r="AG1181" s="9"/>
      <c r="AH1181" s="10"/>
    </row>
    <row r="1182" spans="3:34" x14ac:dyDescent="0.35">
      <c r="C1182" s="5"/>
      <c r="D1182" s="5"/>
      <c r="T1182" s="6"/>
      <c r="U1182" s="6"/>
      <c r="V1182" s="6"/>
      <c r="W1182" s="7" t="str">
        <f t="shared" si="36"/>
        <v/>
      </c>
      <c r="X1182" s="8" t="str">
        <f t="shared" si="37"/>
        <v/>
      </c>
      <c r="AG1182" s="9"/>
      <c r="AH1182" s="10"/>
    </row>
    <row r="1183" spans="3:34" x14ac:dyDescent="0.35">
      <c r="C1183" s="5"/>
      <c r="D1183" s="5"/>
      <c r="T1183" s="6"/>
      <c r="U1183" s="6"/>
      <c r="V1183" s="6"/>
      <c r="W1183" s="7" t="str">
        <f t="shared" si="36"/>
        <v/>
      </c>
      <c r="X1183" s="8" t="str">
        <f t="shared" si="37"/>
        <v/>
      </c>
      <c r="AG1183" s="9"/>
      <c r="AH1183" s="10"/>
    </row>
    <row r="1184" spans="3:34" x14ac:dyDescent="0.35">
      <c r="C1184" s="5"/>
      <c r="D1184" s="5"/>
      <c r="T1184" s="6"/>
      <c r="U1184" s="6"/>
      <c r="V1184" s="6"/>
      <c r="W1184" s="7" t="str">
        <f t="shared" si="36"/>
        <v/>
      </c>
      <c r="X1184" s="8" t="str">
        <f t="shared" si="37"/>
        <v/>
      </c>
      <c r="AG1184" s="9"/>
      <c r="AH1184" s="10"/>
    </row>
    <row r="1185" spans="3:34" x14ac:dyDescent="0.35">
      <c r="C1185" s="5"/>
      <c r="D1185" s="5"/>
      <c r="T1185" s="6"/>
      <c r="U1185" s="6"/>
      <c r="V1185" s="6"/>
      <c r="W1185" s="7" t="str">
        <f t="shared" si="36"/>
        <v/>
      </c>
      <c r="X1185" s="8" t="str">
        <f t="shared" si="37"/>
        <v/>
      </c>
      <c r="AG1185" s="9"/>
      <c r="AH1185" s="10"/>
    </row>
    <row r="1186" spans="3:34" x14ac:dyDescent="0.35">
      <c r="C1186" s="5"/>
      <c r="D1186" s="5"/>
      <c r="T1186" s="6"/>
      <c r="U1186" s="6"/>
      <c r="V1186" s="6"/>
      <c r="W1186" s="7" t="str">
        <f t="shared" si="36"/>
        <v/>
      </c>
      <c r="X1186" s="8" t="str">
        <f t="shared" si="37"/>
        <v/>
      </c>
      <c r="AG1186" s="9"/>
      <c r="AH1186" s="10"/>
    </row>
    <row r="1187" spans="3:34" x14ac:dyDescent="0.35">
      <c r="C1187" s="5"/>
      <c r="D1187" s="5"/>
      <c r="T1187" s="6"/>
      <c r="U1187" s="6"/>
      <c r="V1187" s="6"/>
      <c r="W1187" s="7" t="str">
        <f t="shared" si="36"/>
        <v/>
      </c>
      <c r="X1187" s="8" t="str">
        <f t="shared" si="37"/>
        <v/>
      </c>
      <c r="AG1187" s="9"/>
      <c r="AH1187" s="10"/>
    </row>
    <row r="1188" spans="3:34" x14ac:dyDescent="0.35">
      <c r="C1188" s="5"/>
      <c r="D1188" s="5"/>
      <c r="T1188" s="6"/>
      <c r="U1188" s="6"/>
      <c r="V1188" s="6"/>
      <c r="W1188" s="7" t="str">
        <f t="shared" si="36"/>
        <v/>
      </c>
      <c r="X1188" s="8" t="str">
        <f t="shared" si="37"/>
        <v/>
      </c>
      <c r="AG1188" s="9"/>
      <c r="AH1188" s="10"/>
    </row>
    <row r="1189" spans="3:34" x14ac:dyDescent="0.35">
      <c r="C1189" s="5"/>
      <c r="D1189" s="5"/>
      <c r="T1189" s="6"/>
      <c r="U1189" s="6"/>
      <c r="V1189" s="6"/>
      <c r="W1189" s="7" t="str">
        <f t="shared" si="36"/>
        <v/>
      </c>
      <c r="X1189" s="8" t="str">
        <f t="shared" si="37"/>
        <v/>
      </c>
      <c r="AG1189" s="9"/>
      <c r="AH1189" s="10"/>
    </row>
    <row r="1190" spans="3:34" x14ac:dyDescent="0.35">
      <c r="C1190" s="5"/>
      <c r="D1190" s="5"/>
      <c r="T1190" s="6"/>
      <c r="U1190" s="6"/>
      <c r="V1190" s="6"/>
      <c r="W1190" s="7" t="str">
        <f t="shared" si="36"/>
        <v/>
      </c>
      <c r="X1190" s="8" t="str">
        <f t="shared" si="37"/>
        <v/>
      </c>
      <c r="AG1190" s="9"/>
      <c r="AH1190" s="10"/>
    </row>
    <row r="1191" spans="3:34" x14ac:dyDescent="0.35">
      <c r="C1191" s="5"/>
      <c r="D1191" s="5"/>
      <c r="T1191" s="6"/>
      <c r="U1191" s="6"/>
      <c r="V1191" s="6"/>
      <c r="W1191" s="7" t="str">
        <f t="shared" si="36"/>
        <v/>
      </c>
      <c r="X1191" s="8" t="str">
        <f t="shared" si="37"/>
        <v/>
      </c>
      <c r="AG1191" s="9"/>
      <c r="AH1191" s="10"/>
    </row>
    <row r="1192" spans="3:34" x14ac:dyDescent="0.35">
      <c r="C1192" s="5"/>
      <c r="D1192" s="5"/>
      <c r="T1192" s="6"/>
      <c r="U1192" s="6"/>
      <c r="V1192" s="6"/>
      <c r="W1192" s="7" t="str">
        <f t="shared" si="36"/>
        <v/>
      </c>
      <c r="X1192" s="8" t="str">
        <f t="shared" si="37"/>
        <v/>
      </c>
      <c r="AG1192" s="9"/>
      <c r="AH1192" s="10"/>
    </row>
    <row r="1193" spans="3:34" x14ac:dyDescent="0.35">
      <c r="C1193" s="5"/>
      <c r="D1193" s="5"/>
      <c r="T1193" s="6"/>
      <c r="U1193" s="6"/>
      <c r="V1193" s="6"/>
      <c r="W1193" s="7" t="str">
        <f t="shared" si="36"/>
        <v/>
      </c>
      <c r="X1193" s="8" t="str">
        <f t="shared" si="37"/>
        <v/>
      </c>
      <c r="AG1193" s="9"/>
      <c r="AH1193" s="10"/>
    </row>
    <row r="1194" spans="3:34" x14ac:dyDescent="0.35">
      <c r="C1194" s="5"/>
      <c r="D1194" s="5"/>
      <c r="T1194" s="6"/>
      <c r="U1194" s="6"/>
      <c r="V1194" s="6"/>
      <c r="W1194" s="7" t="str">
        <f t="shared" si="36"/>
        <v/>
      </c>
      <c r="X1194" s="8" t="str">
        <f t="shared" si="37"/>
        <v/>
      </c>
      <c r="AG1194" s="9"/>
      <c r="AH1194" s="10"/>
    </row>
    <row r="1195" spans="3:34" x14ac:dyDescent="0.35">
      <c r="C1195" s="5"/>
      <c r="D1195" s="5"/>
      <c r="T1195" s="6"/>
      <c r="U1195" s="6"/>
      <c r="V1195" s="6"/>
      <c r="W1195" s="7" t="str">
        <f t="shared" si="36"/>
        <v/>
      </c>
      <c r="X1195" s="8" t="str">
        <f t="shared" si="37"/>
        <v/>
      </c>
      <c r="AG1195" s="9"/>
      <c r="AH1195" s="10"/>
    </row>
    <row r="1196" spans="3:34" x14ac:dyDescent="0.35">
      <c r="C1196" s="5"/>
      <c r="D1196" s="5"/>
      <c r="T1196" s="6"/>
      <c r="U1196" s="6"/>
      <c r="V1196" s="6"/>
      <c r="W1196" s="7" t="str">
        <f t="shared" si="36"/>
        <v/>
      </c>
      <c r="X1196" s="8" t="str">
        <f t="shared" si="37"/>
        <v/>
      </c>
      <c r="AG1196" s="9"/>
      <c r="AH1196" s="10"/>
    </row>
    <row r="1197" spans="3:34" x14ac:dyDescent="0.35">
      <c r="C1197" s="5"/>
      <c r="D1197" s="5"/>
      <c r="T1197" s="6"/>
      <c r="U1197" s="6"/>
      <c r="V1197" s="6"/>
      <c r="W1197" s="7" t="str">
        <f t="shared" si="36"/>
        <v/>
      </c>
      <c r="X1197" s="8" t="str">
        <f t="shared" si="37"/>
        <v/>
      </c>
      <c r="AG1197" s="9"/>
      <c r="AH1197" s="10"/>
    </row>
    <row r="1198" spans="3:34" x14ac:dyDescent="0.35">
      <c r="C1198" s="5"/>
      <c r="D1198" s="5"/>
      <c r="T1198" s="6"/>
      <c r="U1198" s="6"/>
      <c r="V1198" s="6"/>
      <c r="W1198" s="7" t="str">
        <f t="shared" si="36"/>
        <v/>
      </c>
      <c r="X1198" s="8" t="str">
        <f t="shared" si="37"/>
        <v/>
      </c>
      <c r="AG1198" s="9"/>
      <c r="AH1198" s="10"/>
    </row>
    <row r="1199" spans="3:34" x14ac:dyDescent="0.35">
      <c r="C1199" s="5"/>
      <c r="D1199" s="5"/>
      <c r="T1199" s="6"/>
      <c r="U1199" s="6"/>
      <c r="V1199" s="6"/>
      <c r="W1199" s="7" t="str">
        <f t="shared" si="36"/>
        <v/>
      </c>
      <c r="X1199" s="8" t="str">
        <f t="shared" si="37"/>
        <v/>
      </c>
      <c r="AG1199" s="9"/>
      <c r="AH1199" s="10"/>
    </row>
    <row r="1200" spans="3:34" x14ac:dyDescent="0.35">
      <c r="C1200" s="5"/>
      <c r="D1200" s="5"/>
      <c r="T1200" s="6"/>
      <c r="U1200" s="6"/>
      <c r="V1200" s="6"/>
      <c r="W1200" s="7" t="str">
        <f t="shared" si="36"/>
        <v/>
      </c>
      <c r="X1200" s="8" t="str">
        <f t="shared" si="37"/>
        <v/>
      </c>
      <c r="AG1200" s="9"/>
      <c r="AH1200" s="10"/>
    </row>
    <row r="1201" spans="3:34" x14ac:dyDescent="0.35">
      <c r="C1201" s="5"/>
      <c r="D1201" s="5"/>
      <c r="T1201" s="6"/>
      <c r="U1201" s="6"/>
      <c r="V1201" s="6"/>
      <c r="W1201" s="7" t="str">
        <f t="shared" si="36"/>
        <v/>
      </c>
      <c r="X1201" s="8" t="str">
        <f t="shared" si="37"/>
        <v/>
      </c>
      <c r="AG1201" s="9"/>
      <c r="AH1201" s="10"/>
    </row>
    <row r="1202" spans="3:34" x14ac:dyDescent="0.35">
      <c r="C1202" s="5"/>
      <c r="D1202" s="5"/>
      <c r="T1202" s="6"/>
      <c r="U1202" s="6"/>
      <c r="V1202" s="6"/>
      <c r="W1202" s="7" t="str">
        <f t="shared" si="36"/>
        <v/>
      </c>
      <c r="X1202" s="8" t="str">
        <f t="shared" si="37"/>
        <v/>
      </c>
      <c r="AG1202" s="9"/>
      <c r="AH1202" s="10"/>
    </row>
    <row r="1203" spans="3:34" x14ac:dyDescent="0.35">
      <c r="C1203" s="5"/>
      <c r="D1203" s="5"/>
      <c r="T1203" s="6"/>
      <c r="U1203" s="6"/>
      <c r="V1203" s="6"/>
      <c r="W1203" s="7" t="str">
        <f t="shared" si="36"/>
        <v/>
      </c>
      <c r="X1203" s="8" t="str">
        <f t="shared" si="37"/>
        <v/>
      </c>
      <c r="AG1203" s="9"/>
      <c r="AH1203" s="10"/>
    </row>
    <row r="1204" spans="3:34" x14ac:dyDescent="0.35">
      <c r="C1204" s="5"/>
      <c r="D1204" s="5"/>
      <c r="T1204" s="6"/>
      <c r="U1204" s="6"/>
      <c r="V1204" s="6"/>
      <c r="W1204" s="7" t="str">
        <f t="shared" si="36"/>
        <v/>
      </c>
      <c r="X1204" s="8" t="str">
        <f t="shared" si="37"/>
        <v/>
      </c>
      <c r="AG1204" s="9"/>
      <c r="AH1204" s="10"/>
    </row>
    <row r="1205" spans="3:34" x14ac:dyDescent="0.35">
      <c r="C1205" s="5"/>
      <c r="D1205" s="5"/>
      <c r="T1205" s="6"/>
      <c r="U1205" s="6"/>
      <c r="V1205" s="6"/>
      <c r="W1205" s="7" t="str">
        <f t="shared" si="36"/>
        <v/>
      </c>
      <c r="X1205" s="8" t="str">
        <f t="shared" si="37"/>
        <v/>
      </c>
      <c r="AG1205" s="9"/>
      <c r="AH1205" s="10"/>
    </row>
    <row r="1206" spans="3:34" x14ac:dyDescent="0.35">
      <c r="C1206" s="5"/>
      <c r="D1206" s="5"/>
      <c r="T1206" s="6"/>
      <c r="U1206" s="6"/>
      <c r="V1206" s="6"/>
      <c r="W1206" s="7" t="str">
        <f t="shared" si="36"/>
        <v/>
      </c>
      <c r="X1206" s="8" t="str">
        <f t="shared" si="37"/>
        <v/>
      </c>
      <c r="AG1206" s="9"/>
      <c r="AH1206" s="10"/>
    </row>
    <row r="1207" spans="3:34" x14ac:dyDescent="0.35">
      <c r="C1207" s="5"/>
      <c r="D1207" s="5"/>
      <c r="T1207" s="6"/>
      <c r="U1207" s="6"/>
      <c r="V1207" s="6"/>
      <c r="W1207" s="7" t="str">
        <f t="shared" si="36"/>
        <v/>
      </c>
      <c r="X1207" s="8" t="str">
        <f t="shared" si="37"/>
        <v/>
      </c>
      <c r="AG1207" s="9"/>
      <c r="AH1207" s="10"/>
    </row>
    <row r="1208" spans="3:34" x14ac:dyDescent="0.35">
      <c r="C1208" s="5"/>
      <c r="D1208" s="5"/>
      <c r="T1208" s="6"/>
      <c r="U1208" s="6"/>
      <c r="V1208" s="6"/>
      <c r="W1208" s="7" t="str">
        <f t="shared" si="36"/>
        <v/>
      </c>
      <c r="X1208" s="8" t="str">
        <f t="shared" si="37"/>
        <v/>
      </c>
      <c r="AG1208" s="9"/>
      <c r="AH1208" s="10"/>
    </row>
    <row r="1209" spans="3:34" x14ac:dyDescent="0.35">
      <c r="C1209" s="5"/>
      <c r="D1209" s="5"/>
      <c r="T1209" s="6"/>
      <c r="U1209" s="6"/>
      <c r="V1209" s="6"/>
      <c r="W1209" s="7" t="str">
        <f t="shared" si="36"/>
        <v/>
      </c>
      <c r="X1209" s="8" t="str">
        <f t="shared" si="37"/>
        <v/>
      </c>
      <c r="AG1209" s="9"/>
      <c r="AH1209" s="10"/>
    </row>
    <row r="1210" spans="3:34" x14ac:dyDescent="0.35">
      <c r="C1210" s="5"/>
      <c r="D1210" s="5"/>
      <c r="T1210" s="6"/>
      <c r="U1210" s="6"/>
      <c r="V1210" s="6"/>
      <c r="W1210" s="7" t="str">
        <f t="shared" si="36"/>
        <v/>
      </c>
      <c r="X1210" s="8" t="str">
        <f t="shared" si="37"/>
        <v/>
      </c>
      <c r="AG1210" s="9"/>
      <c r="AH1210" s="10"/>
    </row>
    <row r="1211" spans="3:34" x14ac:dyDescent="0.35">
      <c r="C1211" s="5"/>
      <c r="D1211" s="5"/>
      <c r="T1211" s="6"/>
      <c r="U1211" s="6"/>
      <c r="V1211" s="6"/>
      <c r="W1211" s="7" t="str">
        <f t="shared" si="36"/>
        <v/>
      </c>
      <c r="X1211" s="8" t="str">
        <f t="shared" si="37"/>
        <v/>
      </c>
      <c r="AG1211" s="9"/>
      <c r="AH1211" s="10"/>
    </row>
    <row r="1212" spans="3:34" x14ac:dyDescent="0.35">
      <c r="C1212" s="5"/>
      <c r="D1212" s="5"/>
      <c r="T1212" s="6"/>
      <c r="U1212" s="6"/>
      <c r="V1212" s="6"/>
      <c r="W1212" s="7" t="str">
        <f t="shared" si="36"/>
        <v/>
      </c>
      <c r="X1212" s="8" t="str">
        <f t="shared" si="37"/>
        <v/>
      </c>
      <c r="AG1212" s="9"/>
      <c r="AH1212" s="10"/>
    </row>
    <row r="1213" spans="3:34" x14ac:dyDescent="0.35">
      <c r="C1213" s="5"/>
      <c r="D1213" s="5"/>
      <c r="T1213" s="6"/>
      <c r="U1213" s="6"/>
      <c r="V1213" s="6"/>
      <c r="W1213" s="7" t="str">
        <f t="shared" si="36"/>
        <v/>
      </c>
      <c r="X1213" s="8" t="str">
        <f t="shared" si="37"/>
        <v/>
      </c>
      <c r="AG1213" s="9"/>
      <c r="AH1213" s="10"/>
    </row>
    <row r="1214" spans="3:34" x14ac:dyDescent="0.35">
      <c r="C1214" s="5"/>
      <c r="D1214" s="5"/>
      <c r="T1214" s="6"/>
      <c r="U1214" s="6"/>
      <c r="V1214" s="6"/>
      <c r="W1214" s="7" t="str">
        <f t="shared" si="36"/>
        <v/>
      </c>
      <c r="X1214" s="8" t="str">
        <f t="shared" si="37"/>
        <v/>
      </c>
      <c r="AG1214" s="9"/>
      <c r="AH1214" s="10"/>
    </row>
    <row r="1215" spans="3:34" x14ac:dyDescent="0.35">
      <c r="C1215" s="5"/>
      <c r="D1215" s="5"/>
      <c r="T1215" s="6"/>
      <c r="U1215" s="6"/>
      <c r="V1215" s="6"/>
      <c r="W1215" s="7" t="str">
        <f t="shared" si="36"/>
        <v/>
      </c>
      <c r="X1215" s="8" t="str">
        <f t="shared" si="37"/>
        <v/>
      </c>
      <c r="AG1215" s="9"/>
      <c r="AH1215" s="10"/>
    </row>
    <row r="1216" spans="3:34" x14ac:dyDescent="0.35">
      <c r="C1216" s="5"/>
      <c r="D1216" s="5"/>
      <c r="T1216" s="6"/>
      <c r="U1216" s="6"/>
      <c r="V1216" s="6"/>
      <c r="W1216" s="7" t="str">
        <f t="shared" si="36"/>
        <v/>
      </c>
      <c r="X1216" s="8" t="str">
        <f t="shared" si="37"/>
        <v/>
      </c>
      <c r="AG1216" s="9"/>
      <c r="AH1216" s="10"/>
    </row>
    <row r="1217" spans="3:34" x14ac:dyDescent="0.35">
      <c r="C1217" s="5"/>
      <c r="D1217" s="5"/>
      <c r="T1217" s="6"/>
      <c r="U1217" s="6"/>
      <c r="V1217" s="6"/>
      <c r="W1217" s="7" t="str">
        <f t="shared" si="36"/>
        <v/>
      </c>
      <c r="X1217" s="8" t="str">
        <f t="shared" si="37"/>
        <v/>
      </c>
      <c r="AG1217" s="9"/>
      <c r="AH1217" s="10"/>
    </row>
    <row r="1218" spans="3:34" x14ac:dyDescent="0.35">
      <c r="C1218" s="5"/>
      <c r="D1218" s="5"/>
      <c r="T1218" s="6"/>
      <c r="U1218" s="6"/>
      <c r="V1218" s="6"/>
      <c r="W1218" s="7" t="str">
        <f t="shared" ref="W1218:W1281" si="38">IF($U1218&gt;0,$U1218-$V1218,"")</f>
        <v/>
      </c>
      <c r="X1218" s="8" t="str">
        <f t="shared" ref="X1218:X1281" si="39">IF($U1218&gt;0,($U1218-$V1218)/$U1218,"")</f>
        <v/>
      </c>
      <c r="AG1218" s="9"/>
      <c r="AH1218" s="10"/>
    </row>
    <row r="1219" spans="3:34" x14ac:dyDescent="0.35">
      <c r="C1219" s="5"/>
      <c r="D1219" s="5"/>
      <c r="T1219" s="6"/>
      <c r="U1219" s="6"/>
      <c r="V1219" s="6"/>
      <c r="W1219" s="7" t="str">
        <f t="shared" si="38"/>
        <v/>
      </c>
      <c r="X1219" s="8" t="str">
        <f t="shared" si="39"/>
        <v/>
      </c>
      <c r="AG1219" s="9"/>
      <c r="AH1219" s="10"/>
    </row>
    <row r="1220" spans="3:34" x14ac:dyDescent="0.35">
      <c r="C1220" s="5"/>
      <c r="D1220" s="5"/>
      <c r="T1220" s="6"/>
      <c r="U1220" s="6"/>
      <c r="V1220" s="6"/>
      <c r="W1220" s="7" t="str">
        <f t="shared" si="38"/>
        <v/>
      </c>
      <c r="X1220" s="8" t="str">
        <f t="shared" si="39"/>
        <v/>
      </c>
      <c r="AG1220" s="9"/>
      <c r="AH1220" s="10"/>
    </row>
    <row r="1221" spans="3:34" x14ac:dyDescent="0.35">
      <c r="C1221" s="5"/>
      <c r="D1221" s="5"/>
      <c r="T1221" s="6"/>
      <c r="U1221" s="6"/>
      <c r="V1221" s="6"/>
      <c r="W1221" s="7" t="str">
        <f t="shared" si="38"/>
        <v/>
      </c>
      <c r="X1221" s="8" t="str">
        <f t="shared" si="39"/>
        <v/>
      </c>
      <c r="AG1221" s="9"/>
      <c r="AH1221" s="10"/>
    </row>
    <row r="1222" spans="3:34" x14ac:dyDescent="0.35">
      <c r="C1222" s="5"/>
      <c r="D1222" s="5"/>
      <c r="T1222" s="6"/>
      <c r="U1222" s="6"/>
      <c r="V1222" s="6"/>
      <c r="W1222" s="7" t="str">
        <f t="shared" si="38"/>
        <v/>
      </c>
      <c r="X1222" s="8" t="str">
        <f t="shared" si="39"/>
        <v/>
      </c>
      <c r="AG1222" s="9"/>
      <c r="AH1222" s="10"/>
    </row>
    <row r="1223" spans="3:34" x14ac:dyDescent="0.35">
      <c r="C1223" s="5"/>
      <c r="D1223" s="5"/>
      <c r="T1223" s="6"/>
      <c r="U1223" s="6"/>
      <c r="V1223" s="6"/>
      <c r="W1223" s="7" t="str">
        <f t="shared" si="38"/>
        <v/>
      </c>
      <c r="X1223" s="8" t="str">
        <f t="shared" si="39"/>
        <v/>
      </c>
      <c r="AG1223" s="9"/>
      <c r="AH1223" s="10"/>
    </row>
    <row r="1224" spans="3:34" x14ac:dyDescent="0.35">
      <c r="C1224" s="5"/>
      <c r="D1224" s="5"/>
      <c r="T1224" s="6"/>
      <c r="U1224" s="6"/>
      <c r="V1224" s="6"/>
      <c r="W1224" s="7" t="str">
        <f t="shared" si="38"/>
        <v/>
      </c>
      <c r="X1224" s="8" t="str">
        <f t="shared" si="39"/>
        <v/>
      </c>
      <c r="AG1224" s="9"/>
      <c r="AH1224" s="10"/>
    </row>
    <row r="1225" spans="3:34" x14ac:dyDescent="0.35">
      <c r="C1225" s="5"/>
      <c r="D1225" s="5"/>
      <c r="T1225" s="6"/>
      <c r="U1225" s="6"/>
      <c r="V1225" s="6"/>
      <c r="W1225" s="7" t="str">
        <f t="shared" si="38"/>
        <v/>
      </c>
      <c r="X1225" s="8" t="str">
        <f t="shared" si="39"/>
        <v/>
      </c>
      <c r="AG1225" s="9"/>
      <c r="AH1225" s="10"/>
    </row>
    <row r="1226" spans="3:34" x14ac:dyDescent="0.35">
      <c r="C1226" s="5"/>
      <c r="D1226" s="5"/>
      <c r="T1226" s="6"/>
      <c r="U1226" s="6"/>
      <c r="V1226" s="6"/>
      <c r="W1226" s="7" t="str">
        <f t="shared" si="38"/>
        <v/>
      </c>
      <c r="X1226" s="8" t="str">
        <f t="shared" si="39"/>
        <v/>
      </c>
      <c r="AG1226" s="9"/>
      <c r="AH1226" s="10"/>
    </row>
    <row r="1227" spans="3:34" x14ac:dyDescent="0.35">
      <c r="C1227" s="5"/>
      <c r="D1227" s="5"/>
      <c r="T1227" s="6"/>
      <c r="U1227" s="6"/>
      <c r="V1227" s="6"/>
      <c r="W1227" s="7" t="str">
        <f t="shared" si="38"/>
        <v/>
      </c>
      <c r="X1227" s="8" t="str">
        <f t="shared" si="39"/>
        <v/>
      </c>
      <c r="AG1227" s="9"/>
      <c r="AH1227" s="10"/>
    </row>
    <row r="1228" spans="3:34" x14ac:dyDescent="0.35">
      <c r="C1228" s="5"/>
      <c r="D1228" s="5"/>
      <c r="T1228" s="6"/>
      <c r="U1228" s="6"/>
      <c r="V1228" s="6"/>
      <c r="W1228" s="7" t="str">
        <f t="shared" si="38"/>
        <v/>
      </c>
      <c r="X1228" s="8" t="str">
        <f t="shared" si="39"/>
        <v/>
      </c>
      <c r="AG1228" s="9"/>
      <c r="AH1228" s="10"/>
    </row>
    <row r="1229" spans="3:34" x14ac:dyDescent="0.35">
      <c r="C1229" s="5"/>
      <c r="D1229" s="5"/>
      <c r="T1229" s="6"/>
      <c r="U1229" s="6"/>
      <c r="V1229" s="6"/>
      <c r="W1229" s="7" t="str">
        <f t="shared" si="38"/>
        <v/>
      </c>
      <c r="X1229" s="8" t="str">
        <f t="shared" si="39"/>
        <v/>
      </c>
      <c r="AG1229" s="9"/>
      <c r="AH1229" s="10"/>
    </row>
    <row r="1230" spans="3:34" x14ac:dyDescent="0.35">
      <c r="C1230" s="5"/>
      <c r="D1230" s="5"/>
      <c r="T1230" s="6"/>
      <c r="U1230" s="6"/>
      <c r="V1230" s="6"/>
      <c r="W1230" s="7" t="str">
        <f t="shared" si="38"/>
        <v/>
      </c>
      <c r="X1230" s="8" t="str">
        <f t="shared" si="39"/>
        <v/>
      </c>
      <c r="AG1230" s="9"/>
      <c r="AH1230" s="10"/>
    </row>
    <row r="1231" spans="3:34" x14ac:dyDescent="0.35">
      <c r="C1231" s="5"/>
      <c r="D1231" s="5"/>
      <c r="T1231" s="6"/>
      <c r="U1231" s="6"/>
      <c r="V1231" s="6"/>
      <c r="W1231" s="7" t="str">
        <f t="shared" si="38"/>
        <v/>
      </c>
      <c r="X1231" s="8" t="str">
        <f t="shared" si="39"/>
        <v/>
      </c>
      <c r="AG1231" s="9"/>
      <c r="AH1231" s="10"/>
    </row>
    <row r="1232" spans="3:34" x14ac:dyDescent="0.35">
      <c r="C1232" s="5"/>
      <c r="D1232" s="5"/>
      <c r="T1232" s="6"/>
      <c r="U1232" s="6"/>
      <c r="V1232" s="6"/>
      <c r="W1232" s="7" t="str">
        <f t="shared" si="38"/>
        <v/>
      </c>
      <c r="X1232" s="8" t="str">
        <f t="shared" si="39"/>
        <v/>
      </c>
      <c r="AG1232" s="9"/>
      <c r="AH1232" s="10"/>
    </row>
    <row r="1233" spans="3:34" x14ac:dyDescent="0.35">
      <c r="C1233" s="5"/>
      <c r="D1233" s="5"/>
      <c r="T1233" s="6"/>
      <c r="U1233" s="6"/>
      <c r="V1233" s="6"/>
      <c r="W1233" s="7" t="str">
        <f t="shared" si="38"/>
        <v/>
      </c>
      <c r="X1233" s="8" t="str">
        <f t="shared" si="39"/>
        <v/>
      </c>
      <c r="AG1233" s="9"/>
      <c r="AH1233" s="10"/>
    </row>
    <row r="1234" spans="3:34" x14ac:dyDescent="0.35">
      <c r="C1234" s="5"/>
      <c r="D1234" s="5"/>
      <c r="T1234" s="6"/>
      <c r="U1234" s="6"/>
      <c r="V1234" s="6"/>
      <c r="W1234" s="7" t="str">
        <f t="shared" si="38"/>
        <v/>
      </c>
      <c r="X1234" s="8" t="str">
        <f t="shared" si="39"/>
        <v/>
      </c>
      <c r="AG1234" s="9"/>
      <c r="AH1234" s="10"/>
    </row>
    <row r="1235" spans="3:34" x14ac:dyDescent="0.35">
      <c r="C1235" s="5"/>
      <c r="D1235" s="5"/>
      <c r="T1235" s="6"/>
      <c r="U1235" s="6"/>
      <c r="V1235" s="6"/>
      <c r="W1235" s="7" t="str">
        <f t="shared" si="38"/>
        <v/>
      </c>
      <c r="X1235" s="8" t="str">
        <f t="shared" si="39"/>
        <v/>
      </c>
      <c r="AG1235" s="9"/>
      <c r="AH1235" s="10"/>
    </row>
    <row r="1236" spans="3:34" x14ac:dyDescent="0.35">
      <c r="C1236" s="5"/>
      <c r="D1236" s="5"/>
      <c r="T1236" s="6"/>
      <c r="U1236" s="6"/>
      <c r="V1236" s="6"/>
      <c r="W1236" s="7" t="str">
        <f t="shared" si="38"/>
        <v/>
      </c>
      <c r="X1236" s="8" t="str">
        <f t="shared" si="39"/>
        <v/>
      </c>
      <c r="AG1236" s="9"/>
      <c r="AH1236" s="10"/>
    </row>
    <row r="1237" spans="3:34" x14ac:dyDescent="0.35">
      <c r="C1237" s="5"/>
      <c r="D1237" s="5"/>
      <c r="T1237" s="6"/>
      <c r="U1237" s="6"/>
      <c r="V1237" s="6"/>
      <c r="W1237" s="7" t="str">
        <f t="shared" si="38"/>
        <v/>
      </c>
      <c r="X1237" s="8" t="str">
        <f t="shared" si="39"/>
        <v/>
      </c>
      <c r="AG1237" s="9"/>
      <c r="AH1237" s="10"/>
    </row>
    <row r="1238" spans="3:34" x14ac:dyDescent="0.35">
      <c r="C1238" s="5"/>
      <c r="D1238" s="5"/>
      <c r="T1238" s="6"/>
      <c r="U1238" s="6"/>
      <c r="V1238" s="6"/>
      <c r="W1238" s="7" t="str">
        <f t="shared" si="38"/>
        <v/>
      </c>
      <c r="X1238" s="8" t="str">
        <f t="shared" si="39"/>
        <v/>
      </c>
      <c r="AG1238" s="9"/>
      <c r="AH1238" s="10"/>
    </row>
    <row r="1239" spans="3:34" x14ac:dyDescent="0.35">
      <c r="C1239" s="5"/>
      <c r="D1239" s="5"/>
      <c r="T1239" s="6"/>
      <c r="U1239" s="6"/>
      <c r="V1239" s="6"/>
      <c r="W1239" s="7" t="str">
        <f t="shared" si="38"/>
        <v/>
      </c>
      <c r="X1239" s="8" t="str">
        <f t="shared" si="39"/>
        <v/>
      </c>
      <c r="AG1239" s="9"/>
      <c r="AH1239" s="10"/>
    </row>
    <row r="1240" spans="3:34" x14ac:dyDescent="0.35">
      <c r="C1240" s="5"/>
      <c r="D1240" s="5"/>
      <c r="T1240" s="6"/>
      <c r="U1240" s="6"/>
      <c r="V1240" s="6"/>
      <c r="W1240" s="7" t="str">
        <f t="shared" si="38"/>
        <v/>
      </c>
      <c r="X1240" s="8" t="str">
        <f t="shared" si="39"/>
        <v/>
      </c>
      <c r="AG1240" s="9"/>
      <c r="AH1240" s="10"/>
    </row>
    <row r="1241" spans="3:34" x14ac:dyDescent="0.35">
      <c r="C1241" s="5"/>
      <c r="D1241" s="5"/>
      <c r="T1241" s="6"/>
      <c r="U1241" s="6"/>
      <c r="V1241" s="6"/>
      <c r="W1241" s="7" t="str">
        <f t="shared" si="38"/>
        <v/>
      </c>
      <c r="X1241" s="8" t="str">
        <f t="shared" si="39"/>
        <v/>
      </c>
      <c r="AG1241" s="9"/>
      <c r="AH1241" s="10"/>
    </row>
    <row r="1242" spans="3:34" x14ac:dyDescent="0.35">
      <c r="C1242" s="5"/>
      <c r="D1242" s="5"/>
      <c r="T1242" s="6"/>
      <c r="U1242" s="6"/>
      <c r="V1242" s="6"/>
      <c r="W1242" s="7" t="str">
        <f t="shared" si="38"/>
        <v/>
      </c>
      <c r="X1242" s="8" t="str">
        <f t="shared" si="39"/>
        <v/>
      </c>
      <c r="AG1242" s="9"/>
      <c r="AH1242" s="10"/>
    </row>
    <row r="1243" spans="3:34" x14ac:dyDescent="0.35">
      <c r="C1243" s="5"/>
      <c r="D1243" s="5"/>
      <c r="T1243" s="6"/>
      <c r="U1243" s="6"/>
      <c r="V1243" s="6"/>
      <c r="W1243" s="7" t="str">
        <f t="shared" si="38"/>
        <v/>
      </c>
      <c r="X1243" s="8" t="str">
        <f t="shared" si="39"/>
        <v/>
      </c>
      <c r="AG1243" s="9"/>
      <c r="AH1243" s="10"/>
    </row>
    <row r="1244" spans="3:34" x14ac:dyDescent="0.35">
      <c r="C1244" s="5"/>
      <c r="D1244" s="5"/>
      <c r="T1244" s="6"/>
      <c r="U1244" s="6"/>
      <c r="V1244" s="6"/>
      <c r="W1244" s="7" t="str">
        <f t="shared" si="38"/>
        <v/>
      </c>
      <c r="X1244" s="8" t="str">
        <f t="shared" si="39"/>
        <v/>
      </c>
      <c r="AG1244" s="9"/>
      <c r="AH1244" s="10"/>
    </row>
    <row r="1245" spans="3:34" x14ac:dyDescent="0.35">
      <c r="C1245" s="5"/>
      <c r="D1245" s="5"/>
      <c r="T1245" s="6"/>
      <c r="U1245" s="6"/>
      <c r="V1245" s="6"/>
      <c r="W1245" s="7" t="str">
        <f t="shared" si="38"/>
        <v/>
      </c>
      <c r="X1245" s="8" t="str">
        <f t="shared" si="39"/>
        <v/>
      </c>
      <c r="AG1245" s="9"/>
      <c r="AH1245" s="10"/>
    </row>
    <row r="1246" spans="3:34" x14ac:dyDescent="0.35">
      <c r="C1246" s="5"/>
      <c r="D1246" s="5"/>
      <c r="T1246" s="6"/>
      <c r="U1246" s="6"/>
      <c r="V1246" s="6"/>
      <c r="W1246" s="7" t="str">
        <f t="shared" si="38"/>
        <v/>
      </c>
      <c r="X1246" s="8" t="str">
        <f t="shared" si="39"/>
        <v/>
      </c>
      <c r="AG1246" s="9"/>
      <c r="AH1246" s="10"/>
    </row>
    <row r="1247" spans="3:34" x14ac:dyDescent="0.35">
      <c r="C1247" s="5"/>
      <c r="D1247" s="5"/>
      <c r="T1247" s="6"/>
      <c r="U1247" s="6"/>
      <c r="V1247" s="6"/>
      <c r="W1247" s="7" t="str">
        <f t="shared" si="38"/>
        <v/>
      </c>
      <c r="X1247" s="8" t="str">
        <f t="shared" si="39"/>
        <v/>
      </c>
      <c r="AG1247" s="9"/>
      <c r="AH1247" s="10"/>
    </row>
    <row r="1248" spans="3:34" x14ac:dyDescent="0.35">
      <c r="C1248" s="5"/>
      <c r="D1248" s="5"/>
      <c r="T1248" s="6"/>
      <c r="U1248" s="6"/>
      <c r="V1248" s="6"/>
      <c r="W1248" s="7" t="str">
        <f t="shared" si="38"/>
        <v/>
      </c>
      <c r="X1248" s="8" t="str">
        <f t="shared" si="39"/>
        <v/>
      </c>
      <c r="AG1248" s="9"/>
      <c r="AH1248" s="10"/>
    </row>
    <row r="1249" spans="3:34" x14ac:dyDescent="0.35">
      <c r="C1249" s="5"/>
      <c r="D1249" s="5"/>
      <c r="T1249" s="6"/>
      <c r="U1249" s="6"/>
      <c r="V1249" s="6"/>
      <c r="W1249" s="7" t="str">
        <f t="shared" si="38"/>
        <v/>
      </c>
      <c r="X1249" s="8" t="str">
        <f t="shared" si="39"/>
        <v/>
      </c>
      <c r="AG1249" s="9"/>
      <c r="AH1249" s="10"/>
    </row>
    <row r="1250" spans="3:34" x14ac:dyDescent="0.35">
      <c r="C1250" s="5"/>
      <c r="D1250" s="5"/>
      <c r="T1250" s="6"/>
      <c r="U1250" s="6"/>
      <c r="V1250" s="6"/>
      <c r="W1250" s="7" t="str">
        <f t="shared" si="38"/>
        <v/>
      </c>
      <c r="X1250" s="8" t="str">
        <f t="shared" si="39"/>
        <v/>
      </c>
      <c r="AG1250" s="9"/>
      <c r="AH1250" s="10"/>
    </row>
    <row r="1251" spans="3:34" x14ac:dyDescent="0.35">
      <c r="C1251" s="5"/>
      <c r="D1251" s="5"/>
      <c r="T1251" s="6"/>
      <c r="U1251" s="6"/>
      <c r="V1251" s="6"/>
      <c r="W1251" s="7" t="str">
        <f t="shared" si="38"/>
        <v/>
      </c>
      <c r="X1251" s="8" t="str">
        <f t="shared" si="39"/>
        <v/>
      </c>
      <c r="AG1251" s="9"/>
      <c r="AH1251" s="10"/>
    </row>
    <row r="1252" spans="3:34" x14ac:dyDescent="0.35">
      <c r="C1252" s="5"/>
      <c r="D1252" s="5"/>
      <c r="T1252" s="6"/>
      <c r="U1252" s="6"/>
      <c r="V1252" s="6"/>
      <c r="W1252" s="7" t="str">
        <f t="shared" si="38"/>
        <v/>
      </c>
      <c r="X1252" s="8" t="str">
        <f t="shared" si="39"/>
        <v/>
      </c>
      <c r="AG1252" s="9"/>
      <c r="AH1252" s="10"/>
    </row>
    <row r="1253" spans="3:34" x14ac:dyDescent="0.35">
      <c r="C1253" s="5"/>
      <c r="D1253" s="5"/>
      <c r="T1253" s="6"/>
      <c r="U1253" s="6"/>
      <c r="V1253" s="6"/>
      <c r="W1253" s="7" t="str">
        <f t="shared" si="38"/>
        <v/>
      </c>
      <c r="X1253" s="8" t="str">
        <f t="shared" si="39"/>
        <v/>
      </c>
      <c r="AG1253" s="9"/>
      <c r="AH1253" s="10"/>
    </row>
    <row r="1254" spans="3:34" x14ac:dyDescent="0.35">
      <c r="C1254" s="5"/>
      <c r="D1254" s="5"/>
      <c r="T1254" s="6"/>
      <c r="U1254" s="6"/>
      <c r="V1254" s="6"/>
      <c r="W1254" s="7" t="str">
        <f t="shared" si="38"/>
        <v/>
      </c>
      <c r="X1254" s="8" t="str">
        <f t="shared" si="39"/>
        <v/>
      </c>
      <c r="AG1254" s="9"/>
      <c r="AH1254" s="10"/>
    </row>
    <row r="1255" spans="3:34" x14ac:dyDescent="0.35">
      <c r="C1255" s="5"/>
      <c r="D1255" s="5"/>
      <c r="T1255" s="6"/>
      <c r="U1255" s="6"/>
      <c r="V1255" s="6"/>
      <c r="W1255" s="7" t="str">
        <f t="shared" si="38"/>
        <v/>
      </c>
      <c r="X1255" s="8" t="str">
        <f t="shared" si="39"/>
        <v/>
      </c>
      <c r="AG1255" s="9"/>
      <c r="AH1255" s="10"/>
    </row>
    <row r="1256" spans="3:34" x14ac:dyDescent="0.35">
      <c r="C1256" s="5"/>
      <c r="D1256" s="5"/>
      <c r="T1256" s="6"/>
      <c r="U1256" s="6"/>
      <c r="V1256" s="6"/>
      <c r="W1256" s="7" t="str">
        <f t="shared" si="38"/>
        <v/>
      </c>
      <c r="X1256" s="8" t="str">
        <f t="shared" si="39"/>
        <v/>
      </c>
      <c r="AG1256" s="9"/>
      <c r="AH1256" s="10"/>
    </row>
    <row r="1257" spans="3:34" x14ac:dyDescent="0.35">
      <c r="C1257" s="5"/>
      <c r="D1257" s="5"/>
      <c r="T1257" s="6"/>
      <c r="U1257" s="6"/>
      <c r="V1257" s="6"/>
      <c r="W1257" s="7" t="str">
        <f t="shared" si="38"/>
        <v/>
      </c>
      <c r="X1257" s="8" t="str">
        <f t="shared" si="39"/>
        <v/>
      </c>
      <c r="AG1257" s="9"/>
      <c r="AH1257" s="10"/>
    </row>
    <row r="1258" spans="3:34" x14ac:dyDescent="0.35">
      <c r="C1258" s="5"/>
      <c r="D1258" s="5"/>
      <c r="T1258" s="6"/>
      <c r="U1258" s="6"/>
      <c r="V1258" s="6"/>
      <c r="W1258" s="7" t="str">
        <f t="shared" si="38"/>
        <v/>
      </c>
      <c r="X1258" s="8" t="str">
        <f t="shared" si="39"/>
        <v/>
      </c>
      <c r="AG1258" s="9"/>
      <c r="AH1258" s="10"/>
    </row>
    <row r="1259" spans="3:34" x14ac:dyDescent="0.35">
      <c r="C1259" s="5"/>
      <c r="D1259" s="5"/>
      <c r="T1259" s="6"/>
      <c r="U1259" s="6"/>
      <c r="V1259" s="6"/>
      <c r="W1259" s="7" t="str">
        <f t="shared" si="38"/>
        <v/>
      </c>
      <c r="X1259" s="8" t="str">
        <f t="shared" si="39"/>
        <v/>
      </c>
      <c r="AG1259" s="9"/>
      <c r="AH1259" s="10"/>
    </row>
    <row r="1260" spans="3:34" x14ac:dyDescent="0.35">
      <c r="C1260" s="5"/>
      <c r="D1260" s="5"/>
      <c r="T1260" s="6"/>
      <c r="U1260" s="6"/>
      <c r="V1260" s="6"/>
      <c r="W1260" s="7" t="str">
        <f t="shared" si="38"/>
        <v/>
      </c>
      <c r="X1260" s="8" t="str">
        <f t="shared" si="39"/>
        <v/>
      </c>
      <c r="AG1260" s="9"/>
      <c r="AH1260" s="10"/>
    </row>
    <row r="1261" spans="3:34" x14ac:dyDescent="0.35">
      <c r="C1261" s="5"/>
      <c r="D1261" s="5"/>
      <c r="T1261" s="6"/>
      <c r="U1261" s="6"/>
      <c r="V1261" s="6"/>
      <c r="W1261" s="7" t="str">
        <f t="shared" si="38"/>
        <v/>
      </c>
      <c r="X1261" s="8" t="str">
        <f t="shared" si="39"/>
        <v/>
      </c>
      <c r="AG1261" s="9"/>
      <c r="AH1261" s="10"/>
    </row>
    <row r="1262" spans="3:34" x14ac:dyDescent="0.35">
      <c r="C1262" s="5"/>
      <c r="D1262" s="5"/>
      <c r="T1262" s="6"/>
      <c r="U1262" s="6"/>
      <c r="V1262" s="6"/>
      <c r="W1262" s="7" t="str">
        <f t="shared" si="38"/>
        <v/>
      </c>
      <c r="X1262" s="8" t="str">
        <f t="shared" si="39"/>
        <v/>
      </c>
      <c r="AG1262" s="9"/>
      <c r="AH1262" s="10"/>
    </row>
    <row r="1263" spans="3:34" x14ac:dyDescent="0.35">
      <c r="C1263" s="5"/>
      <c r="D1263" s="5"/>
      <c r="T1263" s="6"/>
      <c r="U1263" s="6"/>
      <c r="V1263" s="6"/>
      <c r="W1263" s="7" t="str">
        <f t="shared" si="38"/>
        <v/>
      </c>
      <c r="X1263" s="8" t="str">
        <f t="shared" si="39"/>
        <v/>
      </c>
      <c r="AG1263" s="9"/>
      <c r="AH1263" s="10"/>
    </row>
    <row r="1264" spans="3:34" x14ac:dyDescent="0.35">
      <c r="C1264" s="5"/>
      <c r="D1264" s="5"/>
      <c r="T1264" s="6"/>
      <c r="U1264" s="6"/>
      <c r="V1264" s="6"/>
      <c r="W1264" s="7" t="str">
        <f t="shared" si="38"/>
        <v/>
      </c>
      <c r="X1264" s="8" t="str">
        <f t="shared" si="39"/>
        <v/>
      </c>
      <c r="AG1264" s="9"/>
      <c r="AH1264" s="10"/>
    </row>
    <row r="1265" spans="3:34" x14ac:dyDescent="0.35">
      <c r="C1265" s="5"/>
      <c r="D1265" s="5"/>
      <c r="T1265" s="6"/>
      <c r="U1265" s="6"/>
      <c r="V1265" s="6"/>
      <c r="W1265" s="7" t="str">
        <f t="shared" si="38"/>
        <v/>
      </c>
      <c r="X1265" s="8" t="str">
        <f t="shared" si="39"/>
        <v/>
      </c>
      <c r="AG1265" s="9"/>
      <c r="AH1265" s="10"/>
    </row>
    <row r="1266" spans="3:34" x14ac:dyDescent="0.35">
      <c r="C1266" s="5"/>
      <c r="D1266" s="5"/>
      <c r="T1266" s="6"/>
      <c r="U1266" s="6"/>
      <c r="V1266" s="6"/>
      <c r="W1266" s="7" t="str">
        <f t="shared" si="38"/>
        <v/>
      </c>
      <c r="X1266" s="8" t="str">
        <f t="shared" si="39"/>
        <v/>
      </c>
      <c r="AG1266" s="9"/>
      <c r="AH1266" s="10"/>
    </row>
    <row r="1267" spans="3:34" x14ac:dyDescent="0.35">
      <c r="C1267" s="5"/>
      <c r="D1267" s="5"/>
      <c r="T1267" s="6"/>
      <c r="U1267" s="6"/>
      <c r="V1267" s="6"/>
      <c r="W1267" s="7" t="str">
        <f t="shared" si="38"/>
        <v/>
      </c>
      <c r="X1267" s="8" t="str">
        <f t="shared" si="39"/>
        <v/>
      </c>
      <c r="AG1267" s="9"/>
      <c r="AH1267" s="10"/>
    </row>
    <row r="1268" spans="3:34" x14ac:dyDescent="0.35">
      <c r="C1268" s="5"/>
      <c r="D1268" s="5"/>
      <c r="T1268" s="6"/>
      <c r="U1268" s="6"/>
      <c r="V1268" s="6"/>
      <c r="W1268" s="7" t="str">
        <f t="shared" si="38"/>
        <v/>
      </c>
      <c r="X1268" s="8" t="str">
        <f t="shared" si="39"/>
        <v/>
      </c>
      <c r="AG1268" s="9"/>
      <c r="AH1268" s="10"/>
    </row>
    <row r="1269" spans="3:34" x14ac:dyDescent="0.35">
      <c r="C1269" s="5"/>
      <c r="D1269" s="5"/>
      <c r="T1269" s="6"/>
      <c r="U1269" s="6"/>
      <c r="V1269" s="6"/>
      <c r="W1269" s="7" t="str">
        <f t="shared" si="38"/>
        <v/>
      </c>
      <c r="X1269" s="8" t="str">
        <f t="shared" si="39"/>
        <v/>
      </c>
      <c r="AG1269" s="9"/>
      <c r="AH1269" s="10"/>
    </row>
    <row r="1270" spans="3:34" x14ac:dyDescent="0.35">
      <c r="C1270" s="5"/>
      <c r="D1270" s="5"/>
      <c r="T1270" s="6"/>
      <c r="U1270" s="6"/>
      <c r="V1270" s="6"/>
      <c r="W1270" s="7" t="str">
        <f t="shared" si="38"/>
        <v/>
      </c>
      <c r="X1270" s="8" t="str">
        <f t="shared" si="39"/>
        <v/>
      </c>
      <c r="AG1270" s="9"/>
      <c r="AH1270" s="10"/>
    </row>
    <row r="1271" spans="3:34" x14ac:dyDescent="0.35">
      <c r="C1271" s="5"/>
      <c r="D1271" s="5"/>
      <c r="T1271" s="6"/>
      <c r="U1271" s="6"/>
      <c r="V1271" s="6"/>
      <c r="W1271" s="7" t="str">
        <f t="shared" si="38"/>
        <v/>
      </c>
      <c r="X1271" s="8" t="str">
        <f t="shared" si="39"/>
        <v/>
      </c>
      <c r="AG1271" s="9"/>
      <c r="AH1271" s="10"/>
    </row>
    <row r="1272" spans="3:34" x14ac:dyDescent="0.35">
      <c r="C1272" s="5"/>
      <c r="D1272" s="5"/>
      <c r="T1272" s="6"/>
      <c r="U1272" s="6"/>
      <c r="V1272" s="6"/>
      <c r="W1272" s="7" t="str">
        <f t="shared" si="38"/>
        <v/>
      </c>
      <c r="X1272" s="8" t="str">
        <f t="shared" si="39"/>
        <v/>
      </c>
      <c r="AG1272" s="9"/>
      <c r="AH1272" s="10"/>
    </row>
    <row r="1273" spans="3:34" x14ac:dyDescent="0.35">
      <c r="C1273" s="5"/>
      <c r="D1273" s="5"/>
      <c r="T1273" s="6"/>
      <c r="U1273" s="6"/>
      <c r="V1273" s="6"/>
      <c r="W1273" s="7" t="str">
        <f t="shared" si="38"/>
        <v/>
      </c>
      <c r="X1273" s="8" t="str">
        <f t="shared" si="39"/>
        <v/>
      </c>
      <c r="AG1273" s="9"/>
      <c r="AH1273" s="10"/>
    </row>
    <row r="1274" spans="3:34" x14ac:dyDescent="0.35">
      <c r="C1274" s="5"/>
      <c r="D1274" s="5"/>
      <c r="T1274" s="6"/>
      <c r="U1274" s="6"/>
      <c r="V1274" s="6"/>
      <c r="W1274" s="7" t="str">
        <f t="shared" si="38"/>
        <v/>
      </c>
      <c r="X1274" s="8" t="str">
        <f t="shared" si="39"/>
        <v/>
      </c>
      <c r="AG1274" s="9"/>
      <c r="AH1274" s="10"/>
    </row>
    <row r="1275" spans="3:34" x14ac:dyDescent="0.35">
      <c r="C1275" s="5"/>
      <c r="D1275" s="5"/>
      <c r="T1275" s="6"/>
      <c r="U1275" s="6"/>
      <c r="V1275" s="6"/>
      <c r="W1275" s="7" t="str">
        <f t="shared" si="38"/>
        <v/>
      </c>
      <c r="X1275" s="8" t="str">
        <f t="shared" si="39"/>
        <v/>
      </c>
      <c r="AG1275" s="9"/>
      <c r="AH1275" s="10"/>
    </row>
    <row r="1276" spans="3:34" x14ac:dyDescent="0.35">
      <c r="C1276" s="5"/>
      <c r="D1276" s="5"/>
      <c r="T1276" s="6"/>
      <c r="U1276" s="6"/>
      <c r="V1276" s="6"/>
      <c r="W1276" s="7" t="str">
        <f t="shared" si="38"/>
        <v/>
      </c>
      <c r="X1276" s="8" t="str">
        <f t="shared" si="39"/>
        <v/>
      </c>
      <c r="AG1276" s="9"/>
      <c r="AH1276" s="10"/>
    </row>
    <row r="1277" spans="3:34" x14ac:dyDescent="0.35">
      <c r="C1277" s="5"/>
      <c r="D1277" s="5"/>
      <c r="T1277" s="6"/>
      <c r="U1277" s="6"/>
      <c r="V1277" s="6"/>
      <c r="W1277" s="7" t="str">
        <f t="shared" si="38"/>
        <v/>
      </c>
      <c r="X1277" s="8" t="str">
        <f t="shared" si="39"/>
        <v/>
      </c>
      <c r="AG1277" s="9"/>
      <c r="AH1277" s="10"/>
    </row>
    <row r="1278" spans="3:34" x14ac:dyDescent="0.35">
      <c r="C1278" s="5"/>
      <c r="D1278" s="5"/>
      <c r="T1278" s="6"/>
      <c r="U1278" s="6"/>
      <c r="V1278" s="6"/>
      <c r="W1278" s="7" t="str">
        <f t="shared" si="38"/>
        <v/>
      </c>
      <c r="X1278" s="8" t="str">
        <f t="shared" si="39"/>
        <v/>
      </c>
      <c r="AG1278" s="9"/>
      <c r="AH1278" s="10"/>
    </row>
    <row r="1279" spans="3:34" x14ac:dyDescent="0.35">
      <c r="C1279" s="5"/>
      <c r="D1279" s="5"/>
      <c r="T1279" s="6"/>
      <c r="U1279" s="6"/>
      <c r="V1279" s="6"/>
      <c r="W1279" s="7" t="str">
        <f t="shared" si="38"/>
        <v/>
      </c>
      <c r="X1279" s="8" t="str">
        <f t="shared" si="39"/>
        <v/>
      </c>
      <c r="AG1279" s="9"/>
      <c r="AH1279" s="10"/>
    </row>
    <row r="1280" spans="3:34" x14ac:dyDescent="0.35">
      <c r="C1280" s="5"/>
      <c r="D1280" s="5"/>
      <c r="T1280" s="6"/>
      <c r="U1280" s="6"/>
      <c r="V1280" s="6"/>
      <c r="W1280" s="7" t="str">
        <f t="shared" si="38"/>
        <v/>
      </c>
      <c r="X1280" s="8" t="str">
        <f t="shared" si="39"/>
        <v/>
      </c>
      <c r="AG1280" s="9"/>
      <c r="AH1280" s="10"/>
    </row>
    <row r="1281" spans="3:34" x14ac:dyDescent="0.35">
      <c r="C1281" s="5"/>
      <c r="D1281" s="5"/>
      <c r="T1281" s="6"/>
      <c r="U1281" s="6"/>
      <c r="V1281" s="6"/>
      <c r="W1281" s="7" t="str">
        <f t="shared" si="38"/>
        <v/>
      </c>
      <c r="X1281" s="8" t="str">
        <f t="shared" si="39"/>
        <v/>
      </c>
      <c r="AG1281" s="9"/>
      <c r="AH1281" s="10"/>
    </row>
    <row r="1282" spans="3:34" x14ac:dyDescent="0.35">
      <c r="C1282" s="5"/>
      <c r="D1282" s="5"/>
      <c r="T1282" s="6"/>
      <c r="U1282" s="6"/>
      <c r="V1282" s="6"/>
      <c r="W1282" s="7" t="str">
        <f t="shared" ref="W1282:W1345" si="40">IF($U1282&gt;0,$U1282-$V1282,"")</f>
        <v/>
      </c>
      <c r="X1282" s="8" t="str">
        <f t="shared" ref="X1282:X1345" si="41">IF($U1282&gt;0,($U1282-$V1282)/$U1282,"")</f>
        <v/>
      </c>
      <c r="AG1282" s="9"/>
      <c r="AH1282" s="10"/>
    </row>
    <row r="1283" spans="3:34" x14ac:dyDescent="0.35">
      <c r="C1283" s="5"/>
      <c r="D1283" s="5"/>
      <c r="T1283" s="6"/>
      <c r="U1283" s="6"/>
      <c r="V1283" s="6"/>
      <c r="W1283" s="7" t="str">
        <f t="shared" si="40"/>
        <v/>
      </c>
      <c r="X1283" s="8" t="str">
        <f t="shared" si="41"/>
        <v/>
      </c>
      <c r="AG1283" s="9"/>
      <c r="AH1283" s="10"/>
    </row>
    <row r="1284" spans="3:34" x14ac:dyDescent="0.35">
      <c r="C1284" s="5"/>
      <c r="D1284" s="5"/>
      <c r="T1284" s="6"/>
      <c r="U1284" s="6"/>
      <c r="V1284" s="6"/>
      <c r="W1284" s="7" t="str">
        <f t="shared" si="40"/>
        <v/>
      </c>
      <c r="X1284" s="8" t="str">
        <f t="shared" si="41"/>
        <v/>
      </c>
      <c r="AG1284" s="9"/>
      <c r="AH1284" s="10"/>
    </row>
    <row r="1285" spans="3:34" x14ac:dyDescent="0.35">
      <c r="C1285" s="5"/>
      <c r="D1285" s="5"/>
      <c r="T1285" s="6"/>
      <c r="U1285" s="6"/>
      <c r="V1285" s="6"/>
      <c r="W1285" s="7" t="str">
        <f t="shared" si="40"/>
        <v/>
      </c>
      <c r="X1285" s="8" t="str">
        <f t="shared" si="41"/>
        <v/>
      </c>
      <c r="AG1285" s="9"/>
      <c r="AH1285" s="10"/>
    </row>
    <row r="1286" spans="3:34" x14ac:dyDescent="0.35">
      <c r="C1286" s="5"/>
      <c r="D1286" s="5"/>
      <c r="T1286" s="6"/>
      <c r="U1286" s="6"/>
      <c r="V1286" s="6"/>
      <c r="W1286" s="7" t="str">
        <f t="shared" si="40"/>
        <v/>
      </c>
      <c r="X1286" s="8" t="str">
        <f t="shared" si="41"/>
        <v/>
      </c>
      <c r="AG1286" s="9"/>
      <c r="AH1286" s="10"/>
    </row>
    <row r="1287" spans="3:34" x14ac:dyDescent="0.35">
      <c r="C1287" s="5"/>
      <c r="D1287" s="5"/>
      <c r="T1287" s="6"/>
      <c r="U1287" s="6"/>
      <c r="V1287" s="6"/>
      <c r="W1287" s="7" t="str">
        <f t="shared" si="40"/>
        <v/>
      </c>
      <c r="X1287" s="8" t="str">
        <f t="shared" si="41"/>
        <v/>
      </c>
      <c r="AG1287" s="9"/>
      <c r="AH1287" s="10"/>
    </row>
    <row r="1288" spans="3:34" x14ac:dyDescent="0.35">
      <c r="C1288" s="5"/>
      <c r="D1288" s="5"/>
      <c r="T1288" s="6"/>
      <c r="U1288" s="6"/>
      <c r="V1288" s="6"/>
      <c r="W1288" s="7" t="str">
        <f t="shared" si="40"/>
        <v/>
      </c>
      <c r="X1288" s="8" t="str">
        <f t="shared" si="41"/>
        <v/>
      </c>
      <c r="AG1288" s="9"/>
      <c r="AH1288" s="10"/>
    </row>
    <row r="1289" spans="3:34" x14ac:dyDescent="0.35">
      <c r="C1289" s="5"/>
      <c r="D1289" s="5"/>
      <c r="T1289" s="6"/>
      <c r="U1289" s="6"/>
      <c r="V1289" s="6"/>
      <c r="W1289" s="7" t="str">
        <f t="shared" si="40"/>
        <v/>
      </c>
      <c r="X1289" s="8" t="str">
        <f t="shared" si="41"/>
        <v/>
      </c>
      <c r="AG1289" s="9"/>
      <c r="AH1289" s="10"/>
    </row>
    <row r="1290" spans="3:34" x14ac:dyDescent="0.35">
      <c r="C1290" s="5"/>
      <c r="D1290" s="5"/>
      <c r="T1290" s="6"/>
      <c r="U1290" s="6"/>
      <c r="V1290" s="6"/>
      <c r="W1290" s="7" t="str">
        <f t="shared" si="40"/>
        <v/>
      </c>
      <c r="X1290" s="8" t="str">
        <f t="shared" si="41"/>
        <v/>
      </c>
      <c r="AG1290" s="9"/>
      <c r="AH1290" s="10"/>
    </row>
    <row r="1291" spans="3:34" x14ac:dyDescent="0.35">
      <c r="C1291" s="5"/>
      <c r="D1291" s="5"/>
      <c r="T1291" s="6"/>
      <c r="U1291" s="6"/>
      <c r="V1291" s="6"/>
      <c r="W1291" s="7" t="str">
        <f t="shared" si="40"/>
        <v/>
      </c>
      <c r="X1291" s="8" t="str">
        <f t="shared" si="41"/>
        <v/>
      </c>
      <c r="AG1291" s="9"/>
      <c r="AH1291" s="10"/>
    </row>
    <row r="1292" spans="3:34" x14ac:dyDescent="0.35">
      <c r="C1292" s="5"/>
      <c r="D1292" s="5"/>
      <c r="T1292" s="6"/>
      <c r="U1292" s="6"/>
      <c r="V1292" s="6"/>
      <c r="W1292" s="7" t="str">
        <f t="shared" si="40"/>
        <v/>
      </c>
      <c r="X1292" s="8" t="str">
        <f t="shared" si="41"/>
        <v/>
      </c>
      <c r="AG1292" s="9"/>
      <c r="AH1292" s="10"/>
    </row>
    <row r="1293" spans="3:34" x14ac:dyDescent="0.35">
      <c r="C1293" s="5"/>
      <c r="D1293" s="5"/>
      <c r="T1293" s="6"/>
      <c r="U1293" s="6"/>
      <c r="V1293" s="6"/>
      <c r="W1293" s="7" t="str">
        <f t="shared" si="40"/>
        <v/>
      </c>
      <c r="X1293" s="8" t="str">
        <f t="shared" si="41"/>
        <v/>
      </c>
      <c r="AG1293" s="9"/>
      <c r="AH1293" s="10"/>
    </row>
    <row r="1294" spans="3:34" x14ac:dyDescent="0.35">
      <c r="C1294" s="5"/>
      <c r="D1294" s="5"/>
      <c r="T1294" s="6"/>
      <c r="U1294" s="6"/>
      <c r="V1294" s="6"/>
      <c r="W1294" s="7" t="str">
        <f t="shared" si="40"/>
        <v/>
      </c>
      <c r="X1294" s="8" t="str">
        <f t="shared" si="41"/>
        <v/>
      </c>
      <c r="AG1294" s="9"/>
      <c r="AH1294" s="10"/>
    </row>
    <row r="1295" spans="3:34" x14ac:dyDescent="0.35">
      <c r="C1295" s="5"/>
      <c r="D1295" s="5"/>
      <c r="T1295" s="6"/>
      <c r="U1295" s="6"/>
      <c r="V1295" s="6"/>
      <c r="W1295" s="7" t="str">
        <f t="shared" si="40"/>
        <v/>
      </c>
      <c r="X1295" s="8" t="str">
        <f t="shared" si="41"/>
        <v/>
      </c>
      <c r="AG1295" s="9"/>
      <c r="AH1295" s="10"/>
    </row>
    <row r="1296" spans="3:34" x14ac:dyDescent="0.35">
      <c r="C1296" s="5"/>
      <c r="D1296" s="5"/>
      <c r="T1296" s="6"/>
      <c r="U1296" s="6"/>
      <c r="V1296" s="6"/>
      <c r="W1296" s="7" t="str">
        <f t="shared" si="40"/>
        <v/>
      </c>
      <c r="X1296" s="8" t="str">
        <f t="shared" si="41"/>
        <v/>
      </c>
      <c r="AG1296" s="9"/>
      <c r="AH1296" s="10"/>
    </row>
    <row r="1297" spans="3:34" x14ac:dyDescent="0.35">
      <c r="C1297" s="5"/>
      <c r="D1297" s="5"/>
      <c r="T1297" s="6"/>
      <c r="U1297" s="6"/>
      <c r="V1297" s="6"/>
      <c r="W1297" s="7" t="str">
        <f t="shared" si="40"/>
        <v/>
      </c>
      <c r="X1297" s="8" t="str">
        <f t="shared" si="41"/>
        <v/>
      </c>
      <c r="AG1297" s="9"/>
      <c r="AH1297" s="10"/>
    </row>
    <row r="1298" spans="3:34" x14ac:dyDescent="0.35">
      <c r="C1298" s="5"/>
      <c r="D1298" s="5"/>
      <c r="T1298" s="6"/>
      <c r="U1298" s="6"/>
      <c r="V1298" s="6"/>
      <c r="W1298" s="7" t="str">
        <f t="shared" si="40"/>
        <v/>
      </c>
      <c r="X1298" s="8" t="str">
        <f t="shared" si="41"/>
        <v/>
      </c>
      <c r="AG1298" s="9"/>
      <c r="AH1298" s="10"/>
    </row>
    <row r="1299" spans="3:34" x14ac:dyDescent="0.35">
      <c r="C1299" s="5"/>
      <c r="D1299" s="5"/>
      <c r="T1299" s="6"/>
      <c r="U1299" s="6"/>
      <c r="V1299" s="6"/>
      <c r="W1299" s="7" t="str">
        <f t="shared" si="40"/>
        <v/>
      </c>
      <c r="X1299" s="8" t="str">
        <f t="shared" si="41"/>
        <v/>
      </c>
      <c r="AG1299" s="9"/>
      <c r="AH1299" s="10"/>
    </row>
    <row r="1300" spans="3:34" x14ac:dyDescent="0.35">
      <c r="C1300" s="5"/>
      <c r="D1300" s="5"/>
      <c r="T1300" s="6"/>
      <c r="U1300" s="6"/>
      <c r="V1300" s="6"/>
      <c r="W1300" s="7" t="str">
        <f t="shared" si="40"/>
        <v/>
      </c>
      <c r="X1300" s="8" t="str">
        <f t="shared" si="41"/>
        <v/>
      </c>
      <c r="AG1300" s="9"/>
      <c r="AH1300" s="10"/>
    </row>
    <row r="1301" spans="3:34" x14ac:dyDescent="0.35">
      <c r="C1301" s="5"/>
      <c r="D1301" s="5"/>
      <c r="T1301" s="6"/>
      <c r="U1301" s="6"/>
      <c r="V1301" s="6"/>
      <c r="W1301" s="7" t="str">
        <f t="shared" si="40"/>
        <v/>
      </c>
      <c r="X1301" s="8" t="str">
        <f t="shared" si="41"/>
        <v/>
      </c>
      <c r="AG1301" s="9"/>
      <c r="AH1301" s="10"/>
    </row>
    <row r="1302" spans="3:34" x14ac:dyDescent="0.35">
      <c r="C1302" s="5"/>
      <c r="D1302" s="5"/>
      <c r="T1302" s="6"/>
      <c r="U1302" s="6"/>
      <c r="V1302" s="6"/>
      <c r="W1302" s="7" t="str">
        <f t="shared" si="40"/>
        <v/>
      </c>
      <c r="X1302" s="8" t="str">
        <f t="shared" si="41"/>
        <v/>
      </c>
      <c r="AG1302" s="9"/>
      <c r="AH1302" s="10"/>
    </row>
    <row r="1303" spans="3:34" x14ac:dyDescent="0.35">
      <c r="C1303" s="5"/>
      <c r="D1303" s="5"/>
      <c r="T1303" s="6"/>
      <c r="U1303" s="6"/>
      <c r="V1303" s="6"/>
      <c r="W1303" s="7" t="str">
        <f t="shared" si="40"/>
        <v/>
      </c>
      <c r="X1303" s="8" t="str">
        <f t="shared" si="41"/>
        <v/>
      </c>
      <c r="AG1303" s="9"/>
      <c r="AH1303" s="10"/>
    </row>
    <row r="1304" spans="3:34" x14ac:dyDescent="0.35">
      <c r="C1304" s="5"/>
      <c r="D1304" s="5"/>
      <c r="T1304" s="6"/>
      <c r="U1304" s="6"/>
      <c r="V1304" s="6"/>
      <c r="W1304" s="7" t="str">
        <f t="shared" si="40"/>
        <v/>
      </c>
      <c r="X1304" s="8" t="str">
        <f t="shared" si="41"/>
        <v/>
      </c>
      <c r="AG1304" s="9"/>
      <c r="AH1304" s="10"/>
    </row>
    <row r="1305" spans="3:34" x14ac:dyDescent="0.35">
      <c r="C1305" s="5"/>
      <c r="D1305" s="5"/>
      <c r="T1305" s="6"/>
      <c r="U1305" s="6"/>
      <c r="V1305" s="6"/>
      <c r="W1305" s="7" t="str">
        <f t="shared" si="40"/>
        <v/>
      </c>
      <c r="X1305" s="8" t="str">
        <f t="shared" si="41"/>
        <v/>
      </c>
      <c r="AG1305" s="9"/>
      <c r="AH1305" s="10"/>
    </row>
    <row r="1306" spans="3:34" x14ac:dyDescent="0.35">
      <c r="C1306" s="5"/>
      <c r="D1306" s="5"/>
      <c r="T1306" s="6"/>
      <c r="U1306" s="6"/>
      <c r="V1306" s="6"/>
      <c r="W1306" s="7" t="str">
        <f t="shared" si="40"/>
        <v/>
      </c>
      <c r="X1306" s="8" t="str">
        <f t="shared" si="41"/>
        <v/>
      </c>
      <c r="AG1306" s="9"/>
      <c r="AH1306" s="10"/>
    </row>
    <row r="1307" spans="3:34" x14ac:dyDescent="0.35">
      <c r="C1307" s="5"/>
      <c r="D1307" s="5"/>
      <c r="T1307" s="6"/>
      <c r="U1307" s="6"/>
      <c r="V1307" s="6"/>
      <c r="W1307" s="7" t="str">
        <f t="shared" si="40"/>
        <v/>
      </c>
      <c r="X1307" s="8" t="str">
        <f t="shared" si="41"/>
        <v/>
      </c>
      <c r="AG1307" s="9"/>
      <c r="AH1307" s="10"/>
    </row>
    <row r="1308" spans="3:34" x14ac:dyDescent="0.35">
      <c r="C1308" s="5"/>
      <c r="D1308" s="5"/>
      <c r="T1308" s="6"/>
      <c r="U1308" s="6"/>
      <c r="V1308" s="6"/>
      <c r="W1308" s="7" t="str">
        <f t="shared" si="40"/>
        <v/>
      </c>
      <c r="X1308" s="8" t="str">
        <f t="shared" si="41"/>
        <v/>
      </c>
      <c r="AG1308" s="9"/>
      <c r="AH1308" s="10"/>
    </row>
    <row r="1309" spans="3:34" x14ac:dyDescent="0.35">
      <c r="C1309" s="5"/>
      <c r="D1309" s="5"/>
      <c r="T1309" s="6"/>
      <c r="U1309" s="6"/>
      <c r="V1309" s="6"/>
      <c r="W1309" s="7" t="str">
        <f t="shared" si="40"/>
        <v/>
      </c>
      <c r="X1309" s="8" t="str">
        <f t="shared" si="41"/>
        <v/>
      </c>
      <c r="AG1309" s="9"/>
      <c r="AH1309" s="10"/>
    </row>
    <row r="1310" spans="3:34" x14ac:dyDescent="0.35">
      <c r="C1310" s="5"/>
      <c r="D1310" s="5"/>
      <c r="T1310" s="6"/>
      <c r="U1310" s="6"/>
      <c r="V1310" s="6"/>
      <c r="W1310" s="7" t="str">
        <f t="shared" si="40"/>
        <v/>
      </c>
      <c r="X1310" s="8" t="str">
        <f t="shared" si="41"/>
        <v/>
      </c>
      <c r="AG1310" s="9"/>
      <c r="AH1310" s="10"/>
    </row>
    <row r="1311" spans="3:34" x14ac:dyDescent="0.35">
      <c r="C1311" s="5"/>
      <c r="D1311" s="5"/>
      <c r="T1311" s="6"/>
      <c r="U1311" s="6"/>
      <c r="V1311" s="6"/>
      <c r="W1311" s="7" t="str">
        <f t="shared" si="40"/>
        <v/>
      </c>
      <c r="X1311" s="8" t="str">
        <f t="shared" si="41"/>
        <v/>
      </c>
      <c r="AG1311" s="9"/>
      <c r="AH1311" s="10"/>
    </row>
    <row r="1312" spans="3:34" x14ac:dyDescent="0.35">
      <c r="C1312" s="5"/>
      <c r="D1312" s="5"/>
      <c r="T1312" s="6"/>
      <c r="U1312" s="6"/>
      <c r="V1312" s="6"/>
      <c r="W1312" s="7" t="str">
        <f t="shared" si="40"/>
        <v/>
      </c>
      <c r="X1312" s="8" t="str">
        <f t="shared" si="41"/>
        <v/>
      </c>
      <c r="AG1312" s="9"/>
      <c r="AH1312" s="10"/>
    </row>
    <row r="1313" spans="3:34" x14ac:dyDescent="0.35">
      <c r="C1313" s="5"/>
      <c r="D1313" s="5"/>
      <c r="T1313" s="6"/>
      <c r="U1313" s="6"/>
      <c r="V1313" s="6"/>
      <c r="W1313" s="7" t="str">
        <f t="shared" si="40"/>
        <v/>
      </c>
      <c r="X1313" s="8" t="str">
        <f t="shared" si="41"/>
        <v/>
      </c>
      <c r="AG1313" s="9"/>
      <c r="AH1313" s="10"/>
    </row>
    <row r="1314" spans="3:34" x14ac:dyDescent="0.35">
      <c r="C1314" s="5"/>
      <c r="D1314" s="5"/>
      <c r="T1314" s="6"/>
      <c r="U1314" s="6"/>
      <c r="V1314" s="6"/>
      <c r="W1314" s="7" t="str">
        <f t="shared" si="40"/>
        <v/>
      </c>
      <c r="X1314" s="8" t="str">
        <f t="shared" si="41"/>
        <v/>
      </c>
      <c r="AG1314" s="9"/>
      <c r="AH1314" s="10"/>
    </row>
    <row r="1315" spans="3:34" x14ac:dyDescent="0.35">
      <c r="C1315" s="5"/>
      <c r="D1315" s="5"/>
      <c r="T1315" s="6"/>
      <c r="U1315" s="6"/>
      <c r="V1315" s="6"/>
      <c r="W1315" s="7" t="str">
        <f t="shared" si="40"/>
        <v/>
      </c>
      <c r="X1315" s="8" t="str">
        <f t="shared" si="41"/>
        <v/>
      </c>
      <c r="AG1315" s="9"/>
      <c r="AH1315" s="10"/>
    </row>
    <row r="1316" spans="3:34" x14ac:dyDescent="0.35">
      <c r="C1316" s="5"/>
      <c r="D1316" s="5"/>
      <c r="T1316" s="6"/>
      <c r="U1316" s="6"/>
      <c r="V1316" s="6"/>
      <c r="W1316" s="7" t="str">
        <f t="shared" si="40"/>
        <v/>
      </c>
      <c r="X1316" s="8" t="str">
        <f t="shared" si="41"/>
        <v/>
      </c>
      <c r="AG1316" s="9"/>
      <c r="AH1316" s="10"/>
    </row>
    <row r="1317" spans="3:34" x14ac:dyDescent="0.35">
      <c r="C1317" s="5"/>
      <c r="D1317" s="5"/>
      <c r="T1317" s="6"/>
      <c r="U1317" s="6"/>
      <c r="V1317" s="6"/>
      <c r="W1317" s="7" t="str">
        <f t="shared" si="40"/>
        <v/>
      </c>
      <c r="X1317" s="8" t="str">
        <f t="shared" si="41"/>
        <v/>
      </c>
      <c r="AG1317" s="9"/>
      <c r="AH1317" s="10"/>
    </row>
    <row r="1318" spans="3:34" x14ac:dyDescent="0.35">
      <c r="C1318" s="5"/>
      <c r="D1318" s="5"/>
      <c r="T1318" s="6"/>
      <c r="U1318" s="6"/>
      <c r="V1318" s="6"/>
      <c r="W1318" s="7" t="str">
        <f t="shared" si="40"/>
        <v/>
      </c>
      <c r="X1318" s="8" t="str">
        <f t="shared" si="41"/>
        <v/>
      </c>
      <c r="AG1318" s="9"/>
      <c r="AH1318" s="10"/>
    </row>
    <row r="1319" spans="3:34" x14ac:dyDescent="0.35">
      <c r="C1319" s="5"/>
      <c r="D1319" s="5"/>
      <c r="T1319" s="6"/>
      <c r="U1319" s="6"/>
      <c r="V1319" s="6"/>
      <c r="W1319" s="7" t="str">
        <f t="shared" si="40"/>
        <v/>
      </c>
      <c r="X1319" s="8" t="str">
        <f t="shared" si="41"/>
        <v/>
      </c>
      <c r="AG1319" s="9"/>
      <c r="AH1319" s="10"/>
    </row>
    <row r="1320" spans="3:34" x14ac:dyDescent="0.35">
      <c r="C1320" s="5"/>
      <c r="D1320" s="5"/>
      <c r="T1320" s="6"/>
      <c r="U1320" s="6"/>
      <c r="V1320" s="6"/>
      <c r="W1320" s="7" t="str">
        <f t="shared" si="40"/>
        <v/>
      </c>
      <c r="X1320" s="8" t="str">
        <f t="shared" si="41"/>
        <v/>
      </c>
      <c r="AG1320" s="9"/>
      <c r="AH1320" s="10"/>
    </row>
    <row r="1321" spans="3:34" x14ac:dyDescent="0.35">
      <c r="C1321" s="5"/>
      <c r="D1321" s="5"/>
      <c r="T1321" s="6"/>
      <c r="U1321" s="6"/>
      <c r="V1321" s="6"/>
      <c r="W1321" s="7" t="str">
        <f t="shared" si="40"/>
        <v/>
      </c>
      <c r="X1321" s="8" t="str">
        <f t="shared" si="41"/>
        <v/>
      </c>
      <c r="AG1321" s="9"/>
      <c r="AH1321" s="10"/>
    </row>
    <row r="1322" spans="3:34" x14ac:dyDescent="0.35">
      <c r="C1322" s="5"/>
      <c r="D1322" s="5"/>
      <c r="T1322" s="6"/>
      <c r="U1322" s="6"/>
      <c r="V1322" s="6"/>
      <c r="W1322" s="7" t="str">
        <f t="shared" si="40"/>
        <v/>
      </c>
      <c r="X1322" s="8" t="str">
        <f t="shared" si="41"/>
        <v/>
      </c>
      <c r="AG1322" s="9"/>
      <c r="AH1322" s="10"/>
    </row>
    <row r="1323" spans="3:34" x14ac:dyDescent="0.35">
      <c r="C1323" s="5"/>
      <c r="D1323" s="5"/>
      <c r="T1323" s="6"/>
      <c r="U1323" s="6"/>
      <c r="V1323" s="6"/>
      <c r="W1323" s="7" t="str">
        <f t="shared" si="40"/>
        <v/>
      </c>
      <c r="X1323" s="8" t="str">
        <f t="shared" si="41"/>
        <v/>
      </c>
      <c r="AG1323" s="9"/>
      <c r="AH1323" s="10"/>
    </row>
    <row r="1324" spans="3:34" x14ac:dyDescent="0.35">
      <c r="C1324" s="5"/>
      <c r="D1324" s="5"/>
      <c r="T1324" s="6"/>
      <c r="U1324" s="6"/>
      <c r="V1324" s="6"/>
      <c r="W1324" s="7" t="str">
        <f t="shared" si="40"/>
        <v/>
      </c>
      <c r="X1324" s="8" t="str">
        <f t="shared" si="41"/>
        <v/>
      </c>
      <c r="AG1324" s="9"/>
      <c r="AH1324" s="10"/>
    </row>
    <row r="1325" spans="3:34" x14ac:dyDescent="0.35">
      <c r="C1325" s="5"/>
      <c r="D1325" s="5"/>
      <c r="T1325" s="6"/>
      <c r="U1325" s="6"/>
      <c r="V1325" s="6"/>
      <c r="W1325" s="7" t="str">
        <f t="shared" si="40"/>
        <v/>
      </c>
      <c r="X1325" s="8" t="str">
        <f t="shared" si="41"/>
        <v/>
      </c>
      <c r="AG1325" s="9"/>
      <c r="AH1325" s="10"/>
    </row>
    <row r="1326" spans="3:34" x14ac:dyDescent="0.35">
      <c r="C1326" s="5"/>
      <c r="D1326" s="5"/>
      <c r="T1326" s="6"/>
      <c r="U1326" s="6"/>
      <c r="V1326" s="6"/>
      <c r="W1326" s="7" t="str">
        <f t="shared" si="40"/>
        <v/>
      </c>
      <c r="X1326" s="8" t="str">
        <f t="shared" si="41"/>
        <v/>
      </c>
      <c r="AG1326" s="9"/>
      <c r="AH1326" s="10"/>
    </row>
    <row r="1327" spans="3:34" x14ac:dyDescent="0.35">
      <c r="C1327" s="5"/>
      <c r="D1327" s="5"/>
      <c r="T1327" s="6"/>
      <c r="U1327" s="6"/>
      <c r="V1327" s="6"/>
      <c r="W1327" s="7" t="str">
        <f t="shared" si="40"/>
        <v/>
      </c>
      <c r="X1327" s="8" t="str">
        <f t="shared" si="41"/>
        <v/>
      </c>
      <c r="AG1327" s="9"/>
      <c r="AH1327" s="10"/>
    </row>
    <row r="1328" spans="3:34" x14ac:dyDescent="0.35">
      <c r="C1328" s="5"/>
      <c r="D1328" s="5"/>
      <c r="T1328" s="6"/>
      <c r="U1328" s="6"/>
      <c r="V1328" s="6"/>
      <c r="W1328" s="7" t="str">
        <f t="shared" si="40"/>
        <v/>
      </c>
      <c r="X1328" s="8" t="str">
        <f t="shared" si="41"/>
        <v/>
      </c>
      <c r="AG1328" s="9"/>
      <c r="AH1328" s="10"/>
    </row>
    <row r="1329" spans="3:34" x14ac:dyDescent="0.35">
      <c r="C1329" s="5"/>
      <c r="D1329" s="5"/>
      <c r="T1329" s="6"/>
      <c r="U1329" s="6"/>
      <c r="V1329" s="6"/>
      <c r="W1329" s="7" t="str">
        <f t="shared" si="40"/>
        <v/>
      </c>
      <c r="X1329" s="8" t="str">
        <f t="shared" si="41"/>
        <v/>
      </c>
      <c r="AG1329" s="9"/>
      <c r="AH1329" s="10"/>
    </row>
    <row r="1330" spans="3:34" x14ac:dyDescent="0.35">
      <c r="C1330" s="5"/>
      <c r="D1330" s="5"/>
      <c r="T1330" s="6"/>
      <c r="U1330" s="6"/>
      <c r="V1330" s="6"/>
      <c r="W1330" s="7" t="str">
        <f t="shared" si="40"/>
        <v/>
      </c>
      <c r="X1330" s="8" t="str">
        <f t="shared" si="41"/>
        <v/>
      </c>
      <c r="AG1330" s="9"/>
      <c r="AH1330" s="10"/>
    </row>
    <row r="1331" spans="3:34" x14ac:dyDescent="0.35">
      <c r="C1331" s="5"/>
      <c r="D1331" s="5"/>
      <c r="T1331" s="6"/>
      <c r="U1331" s="6"/>
      <c r="V1331" s="6"/>
      <c r="W1331" s="7" t="str">
        <f t="shared" si="40"/>
        <v/>
      </c>
      <c r="X1331" s="8" t="str">
        <f t="shared" si="41"/>
        <v/>
      </c>
      <c r="AG1331" s="9"/>
      <c r="AH1331" s="10"/>
    </row>
    <row r="1332" spans="3:34" x14ac:dyDescent="0.35">
      <c r="C1332" s="5"/>
      <c r="D1332" s="5"/>
      <c r="T1332" s="6"/>
      <c r="U1332" s="6"/>
      <c r="V1332" s="6"/>
      <c r="W1332" s="7" t="str">
        <f t="shared" si="40"/>
        <v/>
      </c>
      <c r="X1332" s="8" t="str">
        <f t="shared" si="41"/>
        <v/>
      </c>
      <c r="AG1332" s="9"/>
      <c r="AH1332" s="10"/>
    </row>
    <row r="1333" spans="3:34" x14ac:dyDescent="0.35">
      <c r="C1333" s="5"/>
      <c r="D1333" s="5"/>
      <c r="T1333" s="6"/>
      <c r="U1333" s="6"/>
      <c r="V1333" s="6"/>
      <c r="W1333" s="7" t="str">
        <f t="shared" si="40"/>
        <v/>
      </c>
      <c r="X1333" s="8" t="str">
        <f t="shared" si="41"/>
        <v/>
      </c>
      <c r="AG1333" s="9"/>
      <c r="AH1333" s="10"/>
    </row>
    <row r="1334" spans="3:34" x14ac:dyDescent="0.35">
      <c r="C1334" s="5"/>
      <c r="D1334" s="5"/>
      <c r="T1334" s="6"/>
      <c r="U1334" s="6"/>
      <c r="V1334" s="6"/>
      <c r="W1334" s="7" t="str">
        <f t="shared" si="40"/>
        <v/>
      </c>
      <c r="X1334" s="8" t="str">
        <f t="shared" si="41"/>
        <v/>
      </c>
      <c r="AG1334" s="9"/>
      <c r="AH1334" s="10"/>
    </row>
    <row r="1335" spans="3:34" x14ac:dyDescent="0.35">
      <c r="C1335" s="5"/>
      <c r="D1335" s="5"/>
      <c r="T1335" s="6"/>
      <c r="U1335" s="6"/>
      <c r="V1335" s="6"/>
      <c r="W1335" s="7" t="str">
        <f t="shared" si="40"/>
        <v/>
      </c>
      <c r="X1335" s="8" t="str">
        <f t="shared" si="41"/>
        <v/>
      </c>
      <c r="AG1335" s="9"/>
      <c r="AH1335" s="10"/>
    </row>
    <row r="1336" spans="3:34" x14ac:dyDescent="0.35">
      <c r="C1336" s="5"/>
      <c r="D1336" s="5"/>
      <c r="T1336" s="6"/>
      <c r="U1336" s="6"/>
      <c r="V1336" s="6"/>
      <c r="W1336" s="7" t="str">
        <f t="shared" si="40"/>
        <v/>
      </c>
      <c r="X1336" s="8" t="str">
        <f t="shared" si="41"/>
        <v/>
      </c>
      <c r="AG1336" s="9"/>
      <c r="AH1336" s="10"/>
    </row>
    <row r="1337" spans="3:34" x14ac:dyDescent="0.35">
      <c r="C1337" s="5"/>
      <c r="D1337" s="5"/>
      <c r="T1337" s="6"/>
      <c r="U1337" s="6"/>
      <c r="V1337" s="6"/>
      <c r="W1337" s="7" t="str">
        <f t="shared" si="40"/>
        <v/>
      </c>
      <c r="X1337" s="8" t="str">
        <f t="shared" si="41"/>
        <v/>
      </c>
      <c r="AG1337" s="9"/>
      <c r="AH1337" s="10"/>
    </row>
    <row r="1338" spans="3:34" x14ac:dyDescent="0.35">
      <c r="C1338" s="5"/>
      <c r="D1338" s="5"/>
      <c r="T1338" s="6"/>
      <c r="U1338" s="6"/>
      <c r="V1338" s="6"/>
      <c r="W1338" s="7" t="str">
        <f t="shared" si="40"/>
        <v/>
      </c>
      <c r="X1338" s="8" t="str">
        <f t="shared" si="41"/>
        <v/>
      </c>
      <c r="AG1338" s="9"/>
      <c r="AH1338" s="10"/>
    </row>
    <row r="1339" spans="3:34" x14ac:dyDescent="0.35">
      <c r="C1339" s="5"/>
      <c r="D1339" s="5"/>
      <c r="T1339" s="6"/>
      <c r="U1339" s="6"/>
      <c r="V1339" s="6"/>
      <c r="W1339" s="7" t="str">
        <f t="shared" si="40"/>
        <v/>
      </c>
      <c r="X1339" s="8" t="str">
        <f t="shared" si="41"/>
        <v/>
      </c>
      <c r="AG1339" s="9"/>
      <c r="AH1339" s="10"/>
    </row>
    <row r="1340" spans="3:34" x14ac:dyDescent="0.35">
      <c r="C1340" s="5"/>
      <c r="D1340" s="5"/>
      <c r="T1340" s="6"/>
      <c r="U1340" s="6"/>
      <c r="V1340" s="6"/>
      <c r="W1340" s="7" t="str">
        <f t="shared" si="40"/>
        <v/>
      </c>
      <c r="X1340" s="8" t="str">
        <f t="shared" si="41"/>
        <v/>
      </c>
      <c r="AG1340" s="9"/>
      <c r="AH1340" s="10"/>
    </row>
    <row r="1341" spans="3:34" x14ac:dyDescent="0.35">
      <c r="C1341" s="5"/>
      <c r="D1341" s="5"/>
      <c r="T1341" s="6"/>
      <c r="U1341" s="6"/>
      <c r="V1341" s="6"/>
      <c r="W1341" s="7" t="str">
        <f t="shared" si="40"/>
        <v/>
      </c>
      <c r="X1341" s="8" t="str">
        <f t="shared" si="41"/>
        <v/>
      </c>
      <c r="AG1341" s="9"/>
      <c r="AH1341" s="10"/>
    </row>
    <row r="1342" spans="3:34" x14ac:dyDescent="0.35">
      <c r="C1342" s="5"/>
      <c r="D1342" s="5"/>
      <c r="T1342" s="6"/>
      <c r="U1342" s="6"/>
      <c r="V1342" s="6"/>
      <c r="W1342" s="7" t="str">
        <f t="shared" si="40"/>
        <v/>
      </c>
      <c r="X1342" s="8" t="str">
        <f t="shared" si="41"/>
        <v/>
      </c>
      <c r="AG1342" s="9"/>
      <c r="AH1342" s="10"/>
    </row>
    <row r="1343" spans="3:34" x14ac:dyDescent="0.35">
      <c r="C1343" s="5"/>
      <c r="D1343" s="5"/>
      <c r="T1343" s="6"/>
      <c r="U1343" s="6"/>
      <c r="V1343" s="6"/>
      <c r="W1343" s="7" t="str">
        <f t="shared" si="40"/>
        <v/>
      </c>
      <c r="X1343" s="8" t="str">
        <f t="shared" si="41"/>
        <v/>
      </c>
      <c r="AG1343" s="9"/>
      <c r="AH1343" s="10"/>
    </row>
    <row r="1344" spans="3:34" x14ac:dyDescent="0.35">
      <c r="C1344" s="5"/>
      <c r="D1344" s="5"/>
      <c r="T1344" s="6"/>
      <c r="U1344" s="6"/>
      <c r="V1344" s="6"/>
      <c r="W1344" s="7" t="str">
        <f t="shared" si="40"/>
        <v/>
      </c>
      <c r="X1344" s="8" t="str">
        <f t="shared" si="41"/>
        <v/>
      </c>
      <c r="AG1344" s="9"/>
      <c r="AH1344" s="10"/>
    </row>
    <row r="1345" spans="3:34" x14ac:dyDescent="0.35">
      <c r="C1345" s="5"/>
      <c r="D1345" s="5"/>
      <c r="T1345" s="6"/>
      <c r="U1345" s="6"/>
      <c r="V1345" s="6"/>
      <c r="W1345" s="7" t="str">
        <f t="shared" si="40"/>
        <v/>
      </c>
      <c r="X1345" s="8" t="str">
        <f t="shared" si="41"/>
        <v/>
      </c>
      <c r="AG1345" s="9"/>
      <c r="AH1345" s="10"/>
    </row>
    <row r="1346" spans="3:34" x14ac:dyDescent="0.35">
      <c r="C1346" s="5"/>
      <c r="D1346" s="5"/>
      <c r="T1346" s="6"/>
      <c r="U1346" s="6"/>
      <c r="V1346" s="6"/>
      <c r="W1346" s="7" t="str">
        <f t="shared" ref="W1346:W1409" si="42">IF($U1346&gt;0,$U1346-$V1346,"")</f>
        <v/>
      </c>
      <c r="X1346" s="8" t="str">
        <f t="shared" ref="X1346:X1409" si="43">IF($U1346&gt;0,($U1346-$V1346)/$U1346,"")</f>
        <v/>
      </c>
      <c r="AG1346" s="9"/>
      <c r="AH1346" s="10"/>
    </row>
    <row r="1347" spans="3:34" x14ac:dyDescent="0.35">
      <c r="C1347" s="5"/>
      <c r="D1347" s="5"/>
      <c r="T1347" s="6"/>
      <c r="U1347" s="6"/>
      <c r="V1347" s="6"/>
      <c r="W1347" s="7" t="str">
        <f t="shared" si="42"/>
        <v/>
      </c>
      <c r="X1347" s="8" t="str">
        <f t="shared" si="43"/>
        <v/>
      </c>
      <c r="AG1347" s="9"/>
      <c r="AH1347" s="10"/>
    </row>
    <row r="1348" spans="3:34" x14ac:dyDescent="0.35">
      <c r="C1348" s="5"/>
      <c r="D1348" s="5"/>
      <c r="T1348" s="6"/>
      <c r="U1348" s="6"/>
      <c r="V1348" s="6"/>
      <c r="W1348" s="7" t="str">
        <f t="shared" si="42"/>
        <v/>
      </c>
      <c r="X1348" s="8" t="str">
        <f t="shared" si="43"/>
        <v/>
      </c>
      <c r="AG1348" s="9"/>
      <c r="AH1348" s="10"/>
    </row>
    <row r="1349" spans="3:34" x14ac:dyDescent="0.35">
      <c r="C1349" s="5"/>
      <c r="D1349" s="5"/>
      <c r="T1349" s="6"/>
      <c r="U1349" s="6"/>
      <c r="V1349" s="6"/>
      <c r="W1349" s="7" t="str">
        <f t="shared" si="42"/>
        <v/>
      </c>
      <c r="X1349" s="8" t="str">
        <f t="shared" si="43"/>
        <v/>
      </c>
      <c r="AG1349" s="9"/>
      <c r="AH1349" s="10"/>
    </row>
    <row r="1350" spans="3:34" x14ac:dyDescent="0.35">
      <c r="C1350" s="5"/>
      <c r="D1350" s="5"/>
      <c r="T1350" s="6"/>
      <c r="U1350" s="6"/>
      <c r="V1350" s="6"/>
      <c r="W1350" s="7" t="str">
        <f t="shared" si="42"/>
        <v/>
      </c>
      <c r="X1350" s="8" t="str">
        <f t="shared" si="43"/>
        <v/>
      </c>
      <c r="AG1350" s="9"/>
      <c r="AH1350" s="10"/>
    </row>
    <row r="1351" spans="3:34" x14ac:dyDescent="0.35">
      <c r="C1351" s="5"/>
      <c r="D1351" s="5"/>
      <c r="T1351" s="6"/>
      <c r="U1351" s="6"/>
      <c r="V1351" s="6"/>
      <c r="W1351" s="7" t="str">
        <f t="shared" si="42"/>
        <v/>
      </c>
      <c r="X1351" s="8" t="str">
        <f t="shared" si="43"/>
        <v/>
      </c>
      <c r="AG1351" s="9"/>
      <c r="AH1351" s="10"/>
    </row>
    <row r="1352" spans="3:34" x14ac:dyDescent="0.35">
      <c r="C1352" s="5"/>
      <c r="D1352" s="5"/>
      <c r="T1352" s="6"/>
      <c r="U1352" s="6"/>
      <c r="V1352" s="6"/>
      <c r="W1352" s="7" t="str">
        <f t="shared" si="42"/>
        <v/>
      </c>
      <c r="X1352" s="8" t="str">
        <f t="shared" si="43"/>
        <v/>
      </c>
      <c r="AG1352" s="9"/>
      <c r="AH1352" s="10"/>
    </row>
    <row r="1353" spans="3:34" x14ac:dyDescent="0.35">
      <c r="C1353" s="5"/>
      <c r="D1353" s="5"/>
      <c r="T1353" s="6"/>
      <c r="U1353" s="6"/>
      <c r="V1353" s="6"/>
      <c r="W1353" s="7" t="str">
        <f t="shared" si="42"/>
        <v/>
      </c>
      <c r="X1353" s="8" t="str">
        <f t="shared" si="43"/>
        <v/>
      </c>
      <c r="AG1353" s="9"/>
      <c r="AH1353" s="10"/>
    </row>
    <row r="1354" spans="3:34" x14ac:dyDescent="0.35">
      <c r="C1354" s="5"/>
      <c r="D1354" s="5"/>
      <c r="T1354" s="6"/>
      <c r="U1354" s="6"/>
      <c r="V1354" s="6"/>
      <c r="W1354" s="7" t="str">
        <f t="shared" si="42"/>
        <v/>
      </c>
      <c r="X1354" s="8" t="str">
        <f t="shared" si="43"/>
        <v/>
      </c>
      <c r="AG1354" s="9"/>
      <c r="AH1354" s="10"/>
    </row>
    <row r="1355" spans="3:34" x14ac:dyDescent="0.35">
      <c r="C1355" s="5"/>
      <c r="D1355" s="5"/>
      <c r="T1355" s="6"/>
      <c r="U1355" s="6"/>
      <c r="V1355" s="6"/>
      <c r="W1355" s="7" t="str">
        <f t="shared" si="42"/>
        <v/>
      </c>
      <c r="X1355" s="8" t="str">
        <f t="shared" si="43"/>
        <v/>
      </c>
      <c r="AG1355" s="9"/>
      <c r="AH1355" s="10"/>
    </row>
    <row r="1356" spans="3:34" x14ac:dyDescent="0.35">
      <c r="C1356" s="5"/>
      <c r="D1356" s="5"/>
      <c r="T1356" s="6"/>
      <c r="U1356" s="6"/>
      <c r="V1356" s="6"/>
      <c r="W1356" s="7" t="str">
        <f t="shared" si="42"/>
        <v/>
      </c>
      <c r="X1356" s="8" t="str">
        <f t="shared" si="43"/>
        <v/>
      </c>
      <c r="AG1356" s="9"/>
      <c r="AH1356" s="10"/>
    </row>
    <row r="1357" spans="3:34" x14ac:dyDescent="0.35">
      <c r="C1357" s="5"/>
      <c r="D1357" s="5"/>
      <c r="T1357" s="6"/>
      <c r="U1357" s="6"/>
      <c r="V1357" s="6"/>
      <c r="W1357" s="7" t="str">
        <f t="shared" si="42"/>
        <v/>
      </c>
      <c r="X1357" s="8" t="str">
        <f t="shared" si="43"/>
        <v/>
      </c>
      <c r="AG1357" s="9"/>
      <c r="AH1357" s="10"/>
    </row>
    <row r="1358" spans="3:34" x14ac:dyDescent="0.35">
      <c r="C1358" s="5"/>
      <c r="D1358" s="5"/>
      <c r="T1358" s="6"/>
      <c r="U1358" s="6"/>
      <c r="V1358" s="6"/>
      <c r="W1358" s="7" t="str">
        <f t="shared" si="42"/>
        <v/>
      </c>
      <c r="X1358" s="8" t="str">
        <f t="shared" si="43"/>
        <v/>
      </c>
      <c r="AG1358" s="9"/>
      <c r="AH1358" s="10"/>
    </row>
    <row r="1359" spans="3:34" x14ac:dyDescent="0.35">
      <c r="C1359" s="5"/>
      <c r="D1359" s="5"/>
      <c r="T1359" s="6"/>
      <c r="U1359" s="6"/>
      <c r="V1359" s="6"/>
      <c r="W1359" s="7" t="str">
        <f t="shared" si="42"/>
        <v/>
      </c>
      <c r="X1359" s="8" t="str">
        <f t="shared" si="43"/>
        <v/>
      </c>
      <c r="AG1359" s="9"/>
      <c r="AH1359" s="10"/>
    </row>
    <row r="1360" spans="3:34" x14ac:dyDescent="0.35">
      <c r="C1360" s="5"/>
      <c r="D1360" s="5"/>
      <c r="T1360" s="6"/>
      <c r="U1360" s="6"/>
      <c r="V1360" s="6"/>
      <c r="W1360" s="7" t="str">
        <f t="shared" si="42"/>
        <v/>
      </c>
      <c r="X1360" s="8" t="str">
        <f t="shared" si="43"/>
        <v/>
      </c>
      <c r="AG1360" s="9"/>
      <c r="AH1360" s="10"/>
    </row>
    <row r="1361" spans="3:34" x14ac:dyDescent="0.35">
      <c r="C1361" s="5"/>
      <c r="D1361" s="5"/>
      <c r="T1361" s="6"/>
      <c r="U1361" s="6"/>
      <c r="V1361" s="6"/>
      <c r="W1361" s="7" t="str">
        <f t="shared" si="42"/>
        <v/>
      </c>
      <c r="X1361" s="8" t="str">
        <f t="shared" si="43"/>
        <v/>
      </c>
      <c r="AG1361" s="9"/>
      <c r="AH1361" s="10"/>
    </row>
    <row r="1362" spans="3:34" x14ac:dyDescent="0.35">
      <c r="C1362" s="5"/>
      <c r="D1362" s="5"/>
      <c r="T1362" s="6"/>
      <c r="U1362" s="6"/>
      <c r="V1362" s="6"/>
      <c r="W1362" s="7" t="str">
        <f t="shared" si="42"/>
        <v/>
      </c>
      <c r="X1362" s="8" t="str">
        <f t="shared" si="43"/>
        <v/>
      </c>
      <c r="AG1362" s="9"/>
      <c r="AH1362" s="10"/>
    </row>
    <row r="1363" spans="3:34" x14ac:dyDescent="0.35">
      <c r="C1363" s="5"/>
      <c r="D1363" s="5"/>
      <c r="T1363" s="6"/>
      <c r="U1363" s="6"/>
      <c r="V1363" s="6"/>
      <c r="W1363" s="7" t="str">
        <f t="shared" si="42"/>
        <v/>
      </c>
      <c r="X1363" s="8" t="str">
        <f t="shared" si="43"/>
        <v/>
      </c>
      <c r="AG1363" s="9"/>
      <c r="AH1363" s="10"/>
    </row>
    <row r="1364" spans="3:34" x14ac:dyDescent="0.35">
      <c r="C1364" s="5"/>
      <c r="D1364" s="5"/>
      <c r="T1364" s="6"/>
      <c r="U1364" s="6"/>
      <c r="V1364" s="6"/>
      <c r="W1364" s="7" t="str">
        <f t="shared" si="42"/>
        <v/>
      </c>
      <c r="X1364" s="8" t="str">
        <f t="shared" si="43"/>
        <v/>
      </c>
      <c r="AG1364" s="9"/>
      <c r="AH1364" s="10"/>
    </row>
    <row r="1365" spans="3:34" x14ac:dyDescent="0.35">
      <c r="C1365" s="5"/>
      <c r="D1365" s="5"/>
      <c r="T1365" s="6"/>
      <c r="U1365" s="6"/>
      <c r="V1365" s="6"/>
      <c r="W1365" s="7" t="str">
        <f t="shared" si="42"/>
        <v/>
      </c>
      <c r="X1365" s="8" t="str">
        <f t="shared" si="43"/>
        <v/>
      </c>
      <c r="AG1365" s="9"/>
      <c r="AH1365" s="10"/>
    </row>
    <row r="1366" spans="3:34" x14ac:dyDescent="0.35">
      <c r="C1366" s="5"/>
      <c r="D1366" s="5"/>
      <c r="T1366" s="6"/>
      <c r="U1366" s="6"/>
      <c r="V1366" s="6"/>
      <c r="W1366" s="7" t="str">
        <f t="shared" si="42"/>
        <v/>
      </c>
      <c r="X1366" s="8" t="str">
        <f t="shared" si="43"/>
        <v/>
      </c>
      <c r="AG1366" s="9"/>
      <c r="AH1366" s="10"/>
    </row>
    <row r="1367" spans="3:34" x14ac:dyDescent="0.35">
      <c r="C1367" s="5"/>
      <c r="D1367" s="5"/>
      <c r="T1367" s="6"/>
      <c r="U1367" s="6"/>
      <c r="V1367" s="6"/>
      <c r="W1367" s="7" t="str">
        <f t="shared" si="42"/>
        <v/>
      </c>
      <c r="X1367" s="8" t="str">
        <f t="shared" si="43"/>
        <v/>
      </c>
      <c r="AG1367" s="9"/>
      <c r="AH1367" s="10"/>
    </row>
    <row r="1368" spans="3:34" x14ac:dyDescent="0.35">
      <c r="C1368" s="5"/>
      <c r="D1368" s="5"/>
      <c r="T1368" s="6"/>
      <c r="U1368" s="6"/>
      <c r="V1368" s="6"/>
      <c r="W1368" s="7" t="str">
        <f t="shared" si="42"/>
        <v/>
      </c>
      <c r="X1368" s="8" t="str">
        <f t="shared" si="43"/>
        <v/>
      </c>
      <c r="AG1368" s="9"/>
      <c r="AH1368" s="10"/>
    </row>
    <row r="1369" spans="3:34" x14ac:dyDescent="0.35">
      <c r="C1369" s="5"/>
      <c r="D1369" s="5"/>
      <c r="T1369" s="6"/>
      <c r="U1369" s="6"/>
      <c r="V1369" s="6"/>
      <c r="W1369" s="7" t="str">
        <f t="shared" si="42"/>
        <v/>
      </c>
      <c r="X1369" s="8" t="str">
        <f t="shared" si="43"/>
        <v/>
      </c>
      <c r="AG1369" s="9"/>
      <c r="AH1369" s="10"/>
    </row>
    <row r="1370" spans="3:34" x14ac:dyDescent="0.35">
      <c r="C1370" s="5"/>
      <c r="D1370" s="5"/>
      <c r="T1370" s="6"/>
      <c r="U1370" s="6"/>
      <c r="V1370" s="6"/>
      <c r="W1370" s="7" t="str">
        <f t="shared" si="42"/>
        <v/>
      </c>
      <c r="X1370" s="8" t="str">
        <f t="shared" si="43"/>
        <v/>
      </c>
      <c r="AG1370" s="9"/>
      <c r="AH1370" s="10"/>
    </row>
    <row r="1371" spans="3:34" x14ac:dyDescent="0.35">
      <c r="C1371" s="5"/>
      <c r="D1371" s="5"/>
      <c r="T1371" s="6"/>
      <c r="U1371" s="6"/>
      <c r="V1371" s="6"/>
      <c r="W1371" s="7" t="str">
        <f t="shared" si="42"/>
        <v/>
      </c>
      <c r="X1371" s="8" t="str">
        <f t="shared" si="43"/>
        <v/>
      </c>
      <c r="AG1371" s="9"/>
      <c r="AH1371" s="10"/>
    </row>
    <row r="1372" spans="3:34" x14ac:dyDescent="0.35">
      <c r="C1372" s="5"/>
      <c r="D1372" s="5"/>
      <c r="T1372" s="6"/>
      <c r="U1372" s="6"/>
      <c r="V1372" s="6"/>
      <c r="W1372" s="7" t="str">
        <f t="shared" si="42"/>
        <v/>
      </c>
      <c r="X1372" s="8" t="str">
        <f t="shared" si="43"/>
        <v/>
      </c>
      <c r="AG1372" s="9"/>
      <c r="AH1372" s="10"/>
    </row>
    <row r="1373" spans="3:34" x14ac:dyDescent="0.35">
      <c r="C1373" s="5"/>
      <c r="D1373" s="5"/>
      <c r="T1373" s="6"/>
      <c r="U1373" s="6"/>
      <c r="V1373" s="6"/>
      <c r="W1373" s="7" t="str">
        <f t="shared" si="42"/>
        <v/>
      </c>
      <c r="X1373" s="8" t="str">
        <f t="shared" si="43"/>
        <v/>
      </c>
      <c r="AG1373" s="9"/>
      <c r="AH1373" s="10"/>
    </row>
    <row r="1374" spans="3:34" x14ac:dyDescent="0.35">
      <c r="C1374" s="5"/>
      <c r="D1374" s="5"/>
      <c r="T1374" s="6"/>
      <c r="U1374" s="6"/>
      <c r="V1374" s="6"/>
      <c r="W1374" s="7" t="str">
        <f t="shared" si="42"/>
        <v/>
      </c>
      <c r="X1374" s="8" t="str">
        <f t="shared" si="43"/>
        <v/>
      </c>
      <c r="AG1374" s="9"/>
      <c r="AH1374" s="10"/>
    </row>
    <row r="1375" spans="3:34" x14ac:dyDescent="0.35">
      <c r="C1375" s="5"/>
      <c r="D1375" s="5"/>
      <c r="T1375" s="6"/>
      <c r="U1375" s="6"/>
      <c r="V1375" s="6"/>
      <c r="W1375" s="7" t="str">
        <f t="shared" si="42"/>
        <v/>
      </c>
      <c r="X1375" s="8" t="str">
        <f t="shared" si="43"/>
        <v/>
      </c>
      <c r="AG1375" s="9"/>
      <c r="AH1375" s="10"/>
    </row>
    <row r="1376" spans="3:34" x14ac:dyDescent="0.35">
      <c r="C1376" s="5"/>
      <c r="D1376" s="5"/>
      <c r="T1376" s="6"/>
      <c r="U1376" s="6"/>
      <c r="V1376" s="6"/>
      <c r="W1376" s="7" t="str">
        <f t="shared" si="42"/>
        <v/>
      </c>
      <c r="X1376" s="8" t="str">
        <f t="shared" si="43"/>
        <v/>
      </c>
      <c r="AG1376" s="9"/>
      <c r="AH1376" s="10"/>
    </row>
    <row r="1377" spans="3:34" x14ac:dyDescent="0.35">
      <c r="C1377" s="5"/>
      <c r="D1377" s="5"/>
      <c r="T1377" s="6"/>
      <c r="U1377" s="6"/>
      <c r="V1377" s="6"/>
      <c r="W1377" s="7" t="str">
        <f t="shared" si="42"/>
        <v/>
      </c>
      <c r="X1377" s="8" t="str">
        <f t="shared" si="43"/>
        <v/>
      </c>
      <c r="AG1377" s="9"/>
      <c r="AH1377" s="10"/>
    </row>
    <row r="1378" spans="3:34" x14ac:dyDescent="0.35">
      <c r="C1378" s="5"/>
      <c r="D1378" s="5"/>
      <c r="T1378" s="6"/>
      <c r="U1378" s="6"/>
      <c r="V1378" s="6"/>
      <c r="W1378" s="7" t="str">
        <f t="shared" si="42"/>
        <v/>
      </c>
      <c r="X1378" s="8" t="str">
        <f t="shared" si="43"/>
        <v/>
      </c>
      <c r="AG1378" s="9"/>
      <c r="AH1378" s="10"/>
    </row>
    <row r="1379" spans="3:34" x14ac:dyDescent="0.35">
      <c r="C1379" s="5"/>
      <c r="D1379" s="5"/>
      <c r="T1379" s="6"/>
      <c r="U1379" s="6"/>
      <c r="V1379" s="6"/>
      <c r="W1379" s="7" t="str">
        <f t="shared" si="42"/>
        <v/>
      </c>
      <c r="X1379" s="8" t="str">
        <f t="shared" si="43"/>
        <v/>
      </c>
      <c r="AG1379" s="9"/>
      <c r="AH1379" s="10"/>
    </row>
    <row r="1380" spans="3:34" x14ac:dyDescent="0.35">
      <c r="C1380" s="5"/>
      <c r="D1380" s="5"/>
      <c r="T1380" s="6"/>
      <c r="U1380" s="6"/>
      <c r="V1380" s="6"/>
      <c r="W1380" s="7" t="str">
        <f t="shared" si="42"/>
        <v/>
      </c>
      <c r="X1380" s="8" t="str">
        <f t="shared" si="43"/>
        <v/>
      </c>
      <c r="AG1380" s="9"/>
      <c r="AH1380" s="10"/>
    </row>
    <row r="1381" spans="3:34" x14ac:dyDescent="0.35">
      <c r="C1381" s="5"/>
      <c r="D1381" s="5"/>
      <c r="T1381" s="6"/>
      <c r="U1381" s="6"/>
      <c r="V1381" s="6"/>
      <c r="W1381" s="7" t="str">
        <f t="shared" si="42"/>
        <v/>
      </c>
      <c r="X1381" s="8" t="str">
        <f t="shared" si="43"/>
        <v/>
      </c>
      <c r="AG1381" s="9"/>
      <c r="AH1381" s="10"/>
    </row>
    <row r="1382" spans="3:34" x14ac:dyDescent="0.35">
      <c r="C1382" s="5"/>
      <c r="D1382" s="5"/>
      <c r="T1382" s="6"/>
      <c r="U1382" s="6"/>
      <c r="V1382" s="6"/>
      <c r="W1382" s="7" t="str">
        <f t="shared" si="42"/>
        <v/>
      </c>
      <c r="X1382" s="8" t="str">
        <f t="shared" si="43"/>
        <v/>
      </c>
      <c r="AG1382" s="9"/>
      <c r="AH1382" s="10"/>
    </row>
    <row r="1383" spans="3:34" x14ac:dyDescent="0.35">
      <c r="C1383" s="5"/>
      <c r="D1383" s="5"/>
      <c r="T1383" s="6"/>
      <c r="U1383" s="6"/>
      <c r="V1383" s="6"/>
      <c r="W1383" s="7" t="str">
        <f t="shared" si="42"/>
        <v/>
      </c>
      <c r="X1383" s="8" t="str">
        <f t="shared" si="43"/>
        <v/>
      </c>
      <c r="AG1383" s="9"/>
      <c r="AH1383" s="10"/>
    </row>
    <row r="1384" spans="3:34" x14ac:dyDescent="0.35">
      <c r="C1384" s="5"/>
      <c r="D1384" s="5"/>
      <c r="T1384" s="6"/>
      <c r="U1384" s="6"/>
      <c r="V1384" s="6"/>
      <c r="W1384" s="7" t="str">
        <f t="shared" si="42"/>
        <v/>
      </c>
      <c r="X1384" s="8" t="str">
        <f t="shared" si="43"/>
        <v/>
      </c>
      <c r="AG1384" s="9"/>
      <c r="AH1384" s="10"/>
    </row>
    <row r="1385" spans="3:34" x14ac:dyDescent="0.35">
      <c r="C1385" s="5"/>
      <c r="D1385" s="5"/>
      <c r="T1385" s="6"/>
      <c r="U1385" s="6"/>
      <c r="V1385" s="6"/>
      <c r="W1385" s="7" t="str">
        <f t="shared" si="42"/>
        <v/>
      </c>
      <c r="X1385" s="8" t="str">
        <f t="shared" si="43"/>
        <v/>
      </c>
      <c r="AG1385" s="9"/>
      <c r="AH1385" s="10"/>
    </row>
    <row r="1386" spans="3:34" x14ac:dyDescent="0.35">
      <c r="C1386" s="5"/>
      <c r="D1386" s="5"/>
      <c r="T1386" s="6"/>
      <c r="U1386" s="6"/>
      <c r="V1386" s="6"/>
      <c r="W1386" s="7" t="str">
        <f t="shared" si="42"/>
        <v/>
      </c>
      <c r="X1386" s="8" t="str">
        <f t="shared" si="43"/>
        <v/>
      </c>
      <c r="AG1386" s="9"/>
      <c r="AH1386" s="10"/>
    </row>
    <row r="1387" spans="3:34" x14ac:dyDescent="0.35">
      <c r="C1387" s="5"/>
      <c r="D1387" s="5"/>
      <c r="T1387" s="6"/>
      <c r="U1387" s="6"/>
      <c r="V1387" s="6"/>
      <c r="W1387" s="7" t="str">
        <f t="shared" si="42"/>
        <v/>
      </c>
      <c r="X1387" s="8" t="str">
        <f t="shared" si="43"/>
        <v/>
      </c>
      <c r="AG1387" s="9"/>
      <c r="AH1387" s="10"/>
    </row>
    <row r="1388" spans="3:34" x14ac:dyDescent="0.35">
      <c r="C1388" s="5"/>
      <c r="D1388" s="5"/>
      <c r="T1388" s="6"/>
      <c r="U1388" s="6"/>
      <c r="V1388" s="6"/>
      <c r="W1388" s="7" t="str">
        <f t="shared" si="42"/>
        <v/>
      </c>
      <c r="X1388" s="8" t="str">
        <f t="shared" si="43"/>
        <v/>
      </c>
      <c r="AG1388" s="9"/>
      <c r="AH1388" s="10"/>
    </row>
    <row r="1389" spans="3:34" x14ac:dyDescent="0.35">
      <c r="C1389" s="5"/>
      <c r="D1389" s="5"/>
      <c r="T1389" s="6"/>
      <c r="U1389" s="6"/>
      <c r="V1389" s="6"/>
      <c r="W1389" s="7" t="str">
        <f t="shared" si="42"/>
        <v/>
      </c>
      <c r="X1389" s="8" t="str">
        <f t="shared" si="43"/>
        <v/>
      </c>
      <c r="AG1389" s="9"/>
      <c r="AH1389" s="10"/>
    </row>
    <row r="1390" spans="3:34" x14ac:dyDescent="0.35">
      <c r="C1390" s="5"/>
      <c r="D1390" s="5"/>
      <c r="T1390" s="6"/>
      <c r="U1390" s="6"/>
      <c r="V1390" s="6"/>
      <c r="W1390" s="7" t="str">
        <f t="shared" si="42"/>
        <v/>
      </c>
      <c r="X1390" s="8" t="str">
        <f t="shared" si="43"/>
        <v/>
      </c>
      <c r="AG1390" s="9"/>
      <c r="AH1390" s="10"/>
    </row>
    <row r="1391" spans="3:34" x14ac:dyDescent="0.35">
      <c r="C1391" s="5"/>
      <c r="D1391" s="5"/>
      <c r="T1391" s="6"/>
      <c r="U1391" s="6"/>
      <c r="V1391" s="6"/>
      <c r="W1391" s="7" t="str">
        <f t="shared" si="42"/>
        <v/>
      </c>
      <c r="X1391" s="8" t="str">
        <f t="shared" si="43"/>
        <v/>
      </c>
      <c r="AG1391" s="9"/>
      <c r="AH1391" s="10"/>
    </row>
    <row r="1392" spans="3:34" x14ac:dyDescent="0.35">
      <c r="C1392" s="5"/>
      <c r="D1392" s="5"/>
      <c r="T1392" s="6"/>
      <c r="U1392" s="6"/>
      <c r="V1392" s="6"/>
      <c r="W1392" s="7" t="str">
        <f t="shared" si="42"/>
        <v/>
      </c>
      <c r="X1392" s="8" t="str">
        <f t="shared" si="43"/>
        <v/>
      </c>
      <c r="AG1392" s="9"/>
      <c r="AH1392" s="10"/>
    </row>
    <row r="1393" spans="3:34" x14ac:dyDescent="0.35">
      <c r="C1393" s="5"/>
      <c r="D1393" s="5"/>
      <c r="T1393" s="6"/>
      <c r="U1393" s="6"/>
      <c r="V1393" s="6"/>
      <c r="W1393" s="7" t="str">
        <f t="shared" si="42"/>
        <v/>
      </c>
      <c r="X1393" s="8" t="str">
        <f t="shared" si="43"/>
        <v/>
      </c>
      <c r="AG1393" s="9"/>
      <c r="AH1393" s="10"/>
    </row>
    <row r="1394" spans="3:34" x14ac:dyDescent="0.35">
      <c r="C1394" s="5"/>
      <c r="D1394" s="5"/>
      <c r="T1394" s="6"/>
      <c r="U1394" s="6"/>
      <c r="V1394" s="6"/>
      <c r="W1394" s="7" t="str">
        <f t="shared" si="42"/>
        <v/>
      </c>
      <c r="X1394" s="8" t="str">
        <f t="shared" si="43"/>
        <v/>
      </c>
      <c r="AG1394" s="9"/>
      <c r="AH1394" s="10"/>
    </row>
    <row r="1395" spans="3:34" x14ac:dyDescent="0.35">
      <c r="C1395" s="5"/>
      <c r="D1395" s="5"/>
      <c r="T1395" s="6"/>
      <c r="U1395" s="6"/>
      <c r="V1395" s="6"/>
      <c r="W1395" s="7" t="str">
        <f t="shared" si="42"/>
        <v/>
      </c>
      <c r="X1395" s="8" t="str">
        <f t="shared" si="43"/>
        <v/>
      </c>
      <c r="AG1395" s="9"/>
      <c r="AH1395" s="10"/>
    </row>
    <row r="1396" spans="3:34" x14ac:dyDescent="0.35">
      <c r="C1396" s="5"/>
      <c r="D1396" s="5"/>
      <c r="T1396" s="6"/>
      <c r="U1396" s="6"/>
      <c r="V1396" s="6"/>
      <c r="W1396" s="7" t="str">
        <f t="shared" si="42"/>
        <v/>
      </c>
      <c r="X1396" s="8" t="str">
        <f t="shared" si="43"/>
        <v/>
      </c>
      <c r="AG1396" s="9"/>
      <c r="AH1396" s="10"/>
    </row>
    <row r="1397" spans="3:34" x14ac:dyDescent="0.35">
      <c r="C1397" s="5"/>
      <c r="D1397" s="5"/>
      <c r="T1397" s="6"/>
      <c r="U1397" s="6"/>
      <c r="V1397" s="6"/>
      <c r="W1397" s="7" t="str">
        <f t="shared" si="42"/>
        <v/>
      </c>
      <c r="X1397" s="8" t="str">
        <f t="shared" si="43"/>
        <v/>
      </c>
      <c r="AG1397" s="9"/>
      <c r="AH1397" s="10"/>
    </row>
    <row r="1398" spans="3:34" x14ac:dyDescent="0.35">
      <c r="C1398" s="5"/>
      <c r="D1398" s="5"/>
      <c r="T1398" s="6"/>
      <c r="U1398" s="6"/>
      <c r="V1398" s="6"/>
      <c r="W1398" s="7" t="str">
        <f t="shared" si="42"/>
        <v/>
      </c>
      <c r="X1398" s="8" t="str">
        <f t="shared" si="43"/>
        <v/>
      </c>
      <c r="AG1398" s="9"/>
      <c r="AH1398" s="10"/>
    </row>
    <row r="1399" spans="3:34" x14ac:dyDescent="0.35">
      <c r="C1399" s="5"/>
      <c r="D1399" s="5"/>
      <c r="T1399" s="6"/>
      <c r="U1399" s="6"/>
      <c r="V1399" s="6"/>
      <c r="W1399" s="7" t="str">
        <f t="shared" si="42"/>
        <v/>
      </c>
      <c r="X1399" s="8" t="str">
        <f t="shared" si="43"/>
        <v/>
      </c>
      <c r="AG1399" s="9"/>
      <c r="AH1399" s="10"/>
    </row>
    <row r="1400" spans="3:34" x14ac:dyDescent="0.35">
      <c r="C1400" s="5"/>
      <c r="D1400" s="5"/>
      <c r="T1400" s="6"/>
      <c r="U1400" s="6"/>
      <c r="V1400" s="6"/>
      <c r="W1400" s="7" t="str">
        <f t="shared" si="42"/>
        <v/>
      </c>
      <c r="X1400" s="8" t="str">
        <f t="shared" si="43"/>
        <v/>
      </c>
      <c r="AG1400" s="9"/>
      <c r="AH1400" s="10"/>
    </row>
    <row r="1401" spans="3:34" x14ac:dyDescent="0.35">
      <c r="C1401" s="5"/>
      <c r="D1401" s="5"/>
      <c r="T1401" s="6"/>
      <c r="U1401" s="6"/>
      <c r="V1401" s="6"/>
      <c r="W1401" s="7" t="str">
        <f t="shared" si="42"/>
        <v/>
      </c>
      <c r="X1401" s="8" t="str">
        <f t="shared" si="43"/>
        <v/>
      </c>
      <c r="AG1401" s="9"/>
      <c r="AH1401" s="10"/>
    </row>
    <row r="1402" spans="3:34" x14ac:dyDescent="0.35">
      <c r="C1402" s="5"/>
      <c r="D1402" s="5"/>
      <c r="T1402" s="6"/>
      <c r="U1402" s="6"/>
      <c r="V1402" s="6"/>
      <c r="W1402" s="7" t="str">
        <f t="shared" si="42"/>
        <v/>
      </c>
      <c r="X1402" s="8" t="str">
        <f t="shared" si="43"/>
        <v/>
      </c>
      <c r="AG1402" s="9"/>
      <c r="AH1402" s="10"/>
    </row>
    <row r="1403" spans="3:34" x14ac:dyDescent="0.35">
      <c r="C1403" s="5"/>
      <c r="D1403" s="5"/>
      <c r="T1403" s="6"/>
      <c r="U1403" s="6"/>
      <c r="V1403" s="6"/>
      <c r="W1403" s="7" t="str">
        <f t="shared" si="42"/>
        <v/>
      </c>
      <c r="X1403" s="8" t="str">
        <f t="shared" si="43"/>
        <v/>
      </c>
      <c r="AG1403" s="9"/>
      <c r="AH1403" s="10"/>
    </row>
    <row r="1404" spans="3:34" x14ac:dyDescent="0.35">
      <c r="C1404" s="5"/>
      <c r="D1404" s="5"/>
      <c r="T1404" s="6"/>
      <c r="U1404" s="6"/>
      <c r="V1404" s="6"/>
      <c r="W1404" s="7" t="str">
        <f t="shared" si="42"/>
        <v/>
      </c>
      <c r="X1404" s="8" t="str">
        <f t="shared" si="43"/>
        <v/>
      </c>
      <c r="AG1404" s="9"/>
      <c r="AH1404" s="10"/>
    </row>
    <row r="1405" spans="3:34" x14ac:dyDescent="0.35">
      <c r="C1405" s="5"/>
      <c r="D1405" s="5"/>
      <c r="T1405" s="6"/>
      <c r="U1405" s="6"/>
      <c r="V1405" s="6"/>
      <c r="W1405" s="7" t="str">
        <f t="shared" si="42"/>
        <v/>
      </c>
      <c r="X1405" s="8" t="str">
        <f t="shared" si="43"/>
        <v/>
      </c>
      <c r="AG1405" s="9"/>
      <c r="AH1405" s="10"/>
    </row>
    <row r="1406" spans="3:34" x14ac:dyDescent="0.35">
      <c r="C1406" s="5"/>
      <c r="D1406" s="5"/>
      <c r="T1406" s="6"/>
      <c r="U1406" s="6"/>
      <c r="V1406" s="6"/>
      <c r="W1406" s="7" t="str">
        <f t="shared" si="42"/>
        <v/>
      </c>
      <c r="X1406" s="8" t="str">
        <f t="shared" si="43"/>
        <v/>
      </c>
      <c r="AG1406" s="9"/>
      <c r="AH1406" s="10"/>
    </row>
    <row r="1407" spans="3:34" x14ac:dyDescent="0.35">
      <c r="C1407" s="5"/>
      <c r="D1407" s="5"/>
      <c r="T1407" s="6"/>
      <c r="U1407" s="6"/>
      <c r="V1407" s="6"/>
      <c r="W1407" s="7" t="str">
        <f t="shared" si="42"/>
        <v/>
      </c>
      <c r="X1407" s="8" t="str">
        <f t="shared" si="43"/>
        <v/>
      </c>
      <c r="AG1407" s="9"/>
      <c r="AH1407" s="10"/>
    </row>
    <row r="1408" spans="3:34" x14ac:dyDescent="0.35">
      <c r="C1408" s="5"/>
      <c r="D1408" s="5"/>
      <c r="T1408" s="6"/>
      <c r="U1408" s="6"/>
      <c r="V1408" s="6"/>
      <c r="W1408" s="7" t="str">
        <f t="shared" si="42"/>
        <v/>
      </c>
      <c r="X1408" s="8" t="str">
        <f t="shared" si="43"/>
        <v/>
      </c>
      <c r="AG1408" s="9"/>
      <c r="AH1408" s="10"/>
    </row>
    <row r="1409" spans="3:34" x14ac:dyDescent="0.35">
      <c r="C1409" s="5"/>
      <c r="D1409" s="5"/>
      <c r="T1409" s="6"/>
      <c r="U1409" s="6"/>
      <c r="V1409" s="6"/>
      <c r="W1409" s="7" t="str">
        <f t="shared" si="42"/>
        <v/>
      </c>
      <c r="X1409" s="8" t="str">
        <f t="shared" si="43"/>
        <v/>
      </c>
      <c r="AG1409" s="9"/>
      <c r="AH1409" s="10"/>
    </row>
    <row r="1410" spans="3:34" x14ac:dyDescent="0.35">
      <c r="C1410" s="5"/>
      <c r="D1410" s="5"/>
      <c r="T1410" s="6"/>
      <c r="U1410" s="6"/>
      <c r="V1410" s="6"/>
      <c r="W1410" s="7" t="str">
        <f t="shared" ref="W1410:W1473" si="44">IF($U1410&gt;0,$U1410-$V1410,"")</f>
        <v/>
      </c>
      <c r="X1410" s="8" t="str">
        <f t="shared" ref="X1410:X1473" si="45">IF($U1410&gt;0,($U1410-$V1410)/$U1410,"")</f>
        <v/>
      </c>
      <c r="AG1410" s="9"/>
      <c r="AH1410" s="10"/>
    </row>
    <row r="1411" spans="3:34" x14ac:dyDescent="0.35">
      <c r="C1411" s="5"/>
      <c r="D1411" s="5"/>
      <c r="T1411" s="6"/>
      <c r="U1411" s="6"/>
      <c r="V1411" s="6"/>
      <c r="W1411" s="7" t="str">
        <f t="shared" si="44"/>
        <v/>
      </c>
      <c r="X1411" s="8" t="str">
        <f t="shared" si="45"/>
        <v/>
      </c>
      <c r="AG1411" s="9"/>
      <c r="AH1411" s="10"/>
    </row>
    <row r="1412" spans="3:34" x14ac:dyDescent="0.35">
      <c r="C1412" s="5"/>
      <c r="D1412" s="5"/>
      <c r="T1412" s="6"/>
      <c r="U1412" s="6"/>
      <c r="V1412" s="6"/>
      <c r="W1412" s="7" t="str">
        <f t="shared" si="44"/>
        <v/>
      </c>
      <c r="X1412" s="8" t="str">
        <f t="shared" si="45"/>
        <v/>
      </c>
      <c r="AG1412" s="9"/>
      <c r="AH1412" s="10"/>
    </row>
    <row r="1413" spans="3:34" x14ac:dyDescent="0.35">
      <c r="C1413" s="5"/>
      <c r="D1413" s="5"/>
      <c r="T1413" s="6"/>
      <c r="U1413" s="6"/>
      <c r="V1413" s="6"/>
      <c r="W1413" s="7" t="str">
        <f t="shared" si="44"/>
        <v/>
      </c>
      <c r="X1413" s="8" t="str">
        <f t="shared" si="45"/>
        <v/>
      </c>
      <c r="AG1413" s="9"/>
      <c r="AH1413" s="10"/>
    </row>
    <row r="1414" spans="3:34" x14ac:dyDescent="0.35">
      <c r="C1414" s="5"/>
      <c r="D1414" s="5"/>
      <c r="T1414" s="6"/>
      <c r="U1414" s="6"/>
      <c r="V1414" s="6"/>
      <c r="W1414" s="7" t="str">
        <f t="shared" si="44"/>
        <v/>
      </c>
      <c r="X1414" s="8" t="str">
        <f t="shared" si="45"/>
        <v/>
      </c>
      <c r="AG1414" s="9"/>
      <c r="AH1414" s="10"/>
    </row>
    <row r="1415" spans="3:34" x14ac:dyDescent="0.35">
      <c r="C1415" s="5"/>
      <c r="D1415" s="5"/>
      <c r="T1415" s="6"/>
      <c r="U1415" s="6"/>
      <c r="V1415" s="6"/>
      <c r="W1415" s="7" t="str">
        <f t="shared" si="44"/>
        <v/>
      </c>
      <c r="X1415" s="8" t="str">
        <f t="shared" si="45"/>
        <v/>
      </c>
      <c r="AG1415" s="9"/>
      <c r="AH1415" s="10"/>
    </row>
    <row r="1416" spans="3:34" x14ac:dyDescent="0.35">
      <c r="C1416" s="5"/>
      <c r="D1416" s="5"/>
      <c r="T1416" s="6"/>
      <c r="U1416" s="6"/>
      <c r="V1416" s="6"/>
      <c r="W1416" s="7" t="str">
        <f t="shared" si="44"/>
        <v/>
      </c>
      <c r="X1416" s="8" t="str">
        <f t="shared" si="45"/>
        <v/>
      </c>
      <c r="AG1416" s="9"/>
      <c r="AH1416" s="10"/>
    </row>
    <row r="1417" spans="3:34" x14ac:dyDescent="0.35">
      <c r="C1417" s="5"/>
      <c r="D1417" s="5"/>
      <c r="T1417" s="6"/>
      <c r="U1417" s="6"/>
      <c r="V1417" s="6"/>
      <c r="W1417" s="7" t="str">
        <f t="shared" si="44"/>
        <v/>
      </c>
      <c r="X1417" s="8" t="str">
        <f t="shared" si="45"/>
        <v/>
      </c>
      <c r="AG1417" s="9"/>
      <c r="AH1417" s="10"/>
    </row>
    <row r="1418" spans="3:34" x14ac:dyDescent="0.35">
      <c r="C1418" s="5"/>
      <c r="D1418" s="5"/>
      <c r="T1418" s="6"/>
      <c r="U1418" s="6"/>
      <c r="V1418" s="6"/>
      <c r="W1418" s="7" t="str">
        <f t="shared" si="44"/>
        <v/>
      </c>
      <c r="X1418" s="8" t="str">
        <f t="shared" si="45"/>
        <v/>
      </c>
      <c r="AG1418" s="9"/>
      <c r="AH1418" s="10"/>
    </row>
    <row r="1419" spans="3:34" x14ac:dyDescent="0.35">
      <c r="C1419" s="5"/>
      <c r="D1419" s="5"/>
      <c r="T1419" s="6"/>
      <c r="U1419" s="6"/>
      <c r="V1419" s="6"/>
      <c r="W1419" s="7" t="str">
        <f t="shared" si="44"/>
        <v/>
      </c>
      <c r="X1419" s="8" t="str">
        <f t="shared" si="45"/>
        <v/>
      </c>
      <c r="AG1419" s="9"/>
      <c r="AH1419" s="10"/>
    </row>
    <row r="1420" spans="3:34" x14ac:dyDescent="0.35">
      <c r="C1420" s="5"/>
      <c r="D1420" s="5"/>
      <c r="T1420" s="6"/>
      <c r="U1420" s="6"/>
      <c r="V1420" s="6"/>
      <c r="W1420" s="7" t="str">
        <f t="shared" si="44"/>
        <v/>
      </c>
      <c r="X1420" s="8" t="str">
        <f t="shared" si="45"/>
        <v/>
      </c>
      <c r="AG1420" s="9"/>
      <c r="AH1420" s="10"/>
    </row>
    <row r="1421" spans="3:34" x14ac:dyDescent="0.35">
      <c r="C1421" s="5"/>
      <c r="D1421" s="5"/>
      <c r="T1421" s="6"/>
      <c r="U1421" s="6"/>
      <c r="V1421" s="6"/>
      <c r="W1421" s="7" t="str">
        <f t="shared" si="44"/>
        <v/>
      </c>
      <c r="X1421" s="8" t="str">
        <f t="shared" si="45"/>
        <v/>
      </c>
      <c r="AG1421" s="9"/>
      <c r="AH1421" s="10"/>
    </row>
    <row r="1422" spans="3:34" x14ac:dyDescent="0.35">
      <c r="C1422" s="5"/>
      <c r="D1422" s="5"/>
      <c r="T1422" s="6"/>
      <c r="U1422" s="6"/>
      <c r="V1422" s="6"/>
      <c r="W1422" s="7" t="str">
        <f t="shared" si="44"/>
        <v/>
      </c>
      <c r="X1422" s="8" t="str">
        <f t="shared" si="45"/>
        <v/>
      </c>
      <c r="AG1422" s="9"/>
      <c r="AH1422" s="10"/>
    </row>
    <row r="1423" spans="3:34" x14ac:dyDescent="0.35">
      <c r="C1423" s="5"/>
      <c r="D1423" s="5"/>
      <c r="T1423" s="6"/>
      <c r="U1423" s="6"/>
      <c r="V1423" s="6"/>
      <c r="W1423" s="7" t="str">
        <f t="shared" si="44"/>
        <v/>
      </c>
      <c r="X1423" s="8" t="str">
        <f t="shared" si="45"/>
        <v/>
      </c>
      <c r="AG1423" s="9"/>
      <c r="AH1423" s="10"/>
    </row>
    <row r="1424" spans="3:34" x14ac:dyDescent="0.35">
      <c r="C1424" s="5"/>
      <c r="D1424" s="5"/>
      <c r="T1424" s="6"/>
      <c r="U1424" s="6"/>
      <c r="V1424" s="6"/>
      <c r="W1424" s="7" t="str">
        <f t="shared" si="44"/>
        <v/>
      </c>
      <c r="X1424" s="8" t="str">
        <f t="shared" si="45"/>
        <v/>
      </c>
      <c r="AG1424" s="9"/>
      <c r="AH1424" s="10"/>
    </row>
    <row r="1425" spans="3:34" x14ac:dyDescent="0.35">
      <c r="C1425" s="5"/>
      <c r="D1425" s="5"/>
      <c r="T1425" s="6"/>
      <c r="U1425" s="6"/>
      <c r="V1425" s="6"/>
      <c r="W1425" s="7" t="str">
        <f t="shared" si="44"/>
        <v/>
      </c>
      <c r="X1425" s="8" t="str">
        <f t="shared" si="45"/>
        <v/>
      </c>
      <c r="AG1425" s="9"/>
      <c r="AH1425" s="10"/>
    </row>
    <row r="1426" spans="3:34" x14ac:dyDescent="0.35">
      <c r="C1426" s="5"/>
      <c r="D1426" s="5"/>
      <c r="T1426" s="6"/>
      <c r="U1426" s="6"/>
      <c r="V1426" s="6"/>
      <c r="W1426" s="7" t="str">
        <f t="shared" si="44"/>
        <v/>
      </c>
      <c r="X1426" s="8" t="str">
        <f t="shared" si="45"/>
        <v/>
      </c>
      <c r="AG1426" s="9"/>
      <c r="AH1426" s="10"/>
    </row>
    <row r="1427" spans="3:34" x14ac:dyDescent="0.35">
      <c r="C1427" s="5"/>
      <c r="D1427" s="5"/>
      <c r="T1427" s="6"/>
      <c r="U1427" s="6"/>
      <c r="V1427" s="6"/>
      <c r="W1427" s="7" t="str">
        <f t="shared" si="44"/>
        <v/>
      </c>
      <c r="X1427" s="8" t="str">
        <f t="shared" si="45"/>
        <v/>
      </c>
      <c r="AG1427" s="9"/>
      <c r="AH1427" s="10"/>
    </row>
    <row r="1428" spans="3:34" x14ac:dyDescent="0.35">
      <c r="C1428" s="5"/>
      <c r="D1428" s="5"/>
      <c r="T1428" s="6"/>
      <c r="U1428" s="6"/>
      <c r="V1428" s="6"/>
      <c r="W1428" s="7" t="str">
        <f t="shared" si="44"/>
        <v/>
      </c>
      <c r="X1428" s="8" t="str">
        <f t="shared" si="45"/>
        <v/>
      </c>
      <c r="AG1428" s="9"/>
      <c r="AH1428" s="10"/>
    </row>
    <row r="1429" spans="3:34" x14ac:dyDescent="0.35">
      <c r="C1429" s="5"/>
      <c r="D1429" s="5"/>
      <c r="T1429" s="6"/>
      <c r="U1429" s="6"/>
      <c r="V1429" s="6"/>
      <c r="W1429" s="7" t="str">
        <f t="shared" si="44"/>
        <v/>
      </c>
      <c r="X1429" s="8" t="str">
        <f t="shared" si="45"/>
        <v/>
      </c>
      <c r="AG1429" s="9"/>
      <c r="AH1429" s="10"/>
    </row>
    <row r="1430" spans="3:34" x14ac:dyDescent="0.35">
      <c r="C1430" s="5"/>
      <c r="D1430" s="5"/>
      <c r="T1430" s="6"/>
      <c r="U1430" s="6"/>
      <c r="V1430" s="6"/>
      <c r="W1430" s="7" t="str">
        <f t="shared" si="44"/>
        <v/>
      </c>
      <c r="X1430" s="8" t="str">
        <f t="shared" si="45"/>
        <v/>
      </c>
      <c r="AG1430" s="9"/>
      <c r="AH1430" s="10"/>
    </row>
    <row r="1431" spans="3:34" x14ac:dyDescent="0.35">
      <c r="C1431" s="5"/>
      <c r="D1431" s="5"/>
      <c r="T1431" s="6"/>
      <c r="U1431" s="6"/>
      <c r="V1431" s="6"/>
      <c r="W1431" s="7" t="str">
        <f t="shared" si="44"/>
        <v/>
      </c>
      <c r="X1431" s="8" t="str">
        <f t="shared" si="45"/>
        <v/>
      </c>
      <c r="AG1431" s="9"/>
      <c r="AH1431" s="10"/>
    </row>
    <row r="1432" spans="3:34" x14ac:dyDescent="0.35">
      <c r="C1432" s="5"/>
      <c r="D1432" s="5"/>
      <c r="T1432" s="6"/>
      <c r="U1432" s="6"/>
      <c r="V1432" s="6"/>
      <c r="W1432" s="7" t="str">
        <f t="shared" si="44"/>
        <v/>
      </c>
      <c r="X1432" s="8" t="str">
        <f t="shared" si="45"/>
        <v/>
      </c>
      <c r="AG1432" s="9"/>
      <c r="AH1432" s="10"/>
    </row>
    <row r="1433" spans="3:34" x14ac:dyDescent="0.35">
      <c r="C1433" s="5"/>
      <c r="D1433" s="5"/>
      <c r="T1433" s="6"/>
      <c r="U1433" s="6"/>
      <c r="V1433" s="6"/>
      <c r="W1433" s="7" t="str">
        <f t="shared" si="44"/>
        <v/>
      </c>
      <c r="X1433" s="8" t="str">
        <f t="shared" si="45"/>
        <v/>
      </c>
      <c r="AG1433" s="9"/>
      <c r="AH1433" s="10"/>
    </row>
    <row r="1434" spans="3:34" x14ac:dyDescent="0.35">
      <c r="C1434" s="5"/>
      <c r="D1434" s="5"/>
      <c r="T1434" s="6"/>
      <c r="U1434" s="6"/>
      <c r="V1434" s="6"/>
      <c r="W1434" s="7" t="str">
        <f t="shared" si="44"/>
        <v/>
      </c>
      <c r="X1434" s="8" t="str">
        <f t="shared" si="45"/>
        <v/>
      </c>
      <c r="AG1434" s="9"/>
      <c r="AH1434" s="10"/>
    </row>
    <row r="1435" spans="3:34" x14ac:dyDescent="0.35">
      <c r="C1435" s="5"/>
      <c r="D1435" s="5"/>
      <c r="T1435" s="6"/>
      <c r="U1435" s="6"/>
      <c r="V1435" s="6"/>
      <c r="W1435" s="7" t="str">
        <f t="shared" si="44"/>
        <v/>
      </c>
      <c r="X1435" s="8" t="str">
        <f t="shared" si="45"/>
        <v/>
      </c>
      <c r="AG1435" s="9"/>
      <c r="AH1435" s="10"/>
    </row>
    <row r="1436" spans="3:34" x14ac:dyDescent="0.35">
      <c r="C1436" s="5"/>
      <c r="D1436" s="5"/>
      <c r="T1436" s="6"/>
      <c r="U1436" s="6"/>
      <c r="V1436" s="6"/>
      <c r="W1436" s="7" t="str">
        <f t="shared" si="44"/>
        <v/>
      </c>
      <c r="X1436" s="8" t="str">
        <f t="shared" si="45"/>
        <v/>
      </c>
      <c r="AG1436" s="9"/>
      <c r="AH1436" s="10"/>
    </row>
    <row r="1437" spans="3:34" x14ac:dyDescent="0.35">
      <c r="C1437" s="5"/>
      <c r="D1437" s="5"/>
      <c r="T1437" s="6"/>
      <c r="U1437" s="6"/>
      <c r="V1437" s="6"/>
      <c r="W1437" s="7" t="str">
        <f t="shared" si="44"/>
        <v/>
      </c>
      <c r="X1437" s="8" t="str">
        <f t="shared" si="45"/>
        <v/>
      </c>
      <c r="AG1437" s="9"/>
      <c r="AH1437" s="10"/>
    </row>
    <row r="1438" spans="3:34" x14ac:dyDescent="0.35">
      <c r="C1438" s="5"/>
      <c r="D1438" s="5"/>
      <c r="T1438" s="6"/>
      <c r="U1438" s="6"/>
      <c r="V1438" s="6"/>
      <c r="W1438" s="7" t="str">
        <f t="shared" si="44"/>
        <v/>
      </c>
      <c r="X1438" s="8" t="str">
        <f t="shared" si="45"/>
        <v/>
      </c>
      <c r="AG1438" s="9"/>
      <c r="AH1438" s="10"/>
    </row>
    <row r="1439" spans="3:34" x14ac:dyDescent="0.35">
      <c r="C1439" s="5"/>
      <c r="D1439" s="5"/>
      <c r="T1439" s="6"/>
      <c r="U1439" s="6"/>
      <c r="V1439" s="6"/>
      <c r="W1439" s="7" t="str">
        <f t="shared" si="44"/>
        <v/>
      </c>
      <c r="X1439" s="8" t="str">
        <f t="shared" si="45"/>
        <v/>
      </c>
      <c r="AG1439" s="9"/>
      <c r="AH1439" s="10"/>
    </row>
    <row r="1440" spans="3:34" x14ac:dyDescent="0.35">
      <c r="C1440" s="5"/>
      <c r="D1440" s="5"/>
      <c r="T1440" s="6"/>
      <c r="U1440" s="6"/>
      <c r="V1440" s="6"/>
      <c r="W1440" s="7" t="str">
        <f t="shared" si="44"/>
        <v/>
      </c>
      <c r="X1440" s="8" t="str">
        <f t="shared" si="45"/>
        <v/>
      </c>
      <c r="AG1440" s="9"/>
      <c r="AH1440" s="10"/>
    </row>
    <row r="1441" spans="3:34" x14ac:dyDescent="0.35">
      <c r="C1441" s="5"/>
      <c r="D1441" s="5"/>
      <c r="T1441" s="6"/>
      <c r="U1441" s="6"/>
      <c r="V1441" s="6"/>
      <c r="W1441" s="7" t="str">
        <f t="shared" si="44"/>
        <v/>
      </c>
      <c r="X1441" s="8" t="str">
        <f t="shared" si="45"/>
        <v/>
      </c>
      <c r="AG1441" s="9"/>
      <c r="AH1441" s="10"/>
    </row>
    <row r="1442" spans="3:34" x14ac:dyDescent="0.35">
      <c r="C1442" s="5"/>
      <c r="D1442" s="5"/>
      <c r="T1442" s="6"/>
      <c r="U1442" s="6"/>
      <c r="V1442" s="6"/>
      <c r="W1442" s="7" t="str">
        <f t="shared" si="44"/>
        <v/>
      </c>
      <c r="X1442" s="8" t="str">
        <f t="shared" si="45"/>
        <v/>
      </c>
      <c r="AG1442" s="9"/>
      <c r="AH1442" s="10"/>
    </row>
    <row r="1443" spans="3:34" x14ac:dyDescent="0.35">
      <c r="C1443" s="5"/>
      <c r="D1443" s="5"/>
      <c r="T1443" s="6"/>
      <c r="U1443" s="6"/>
      <c r="V1443" s="6"/>
      <c r="W1443" s="7" t="str">
        <f t="shared" si="44"/>
        <v/>
      </c>
      <c r="X1443" s="8" t="str">
        <f t="shared" si="45"/>
        <v/>
      </c>
      <c r="AG1443" s="9"/>
      <c r="AH1443" s="10"/>
    </row>
    <row r="1444" spans="3:34" x14ac:dyDescent="0.35">
      <c r="C1444" s="5"/>
      <c r="D1444" s="5"/>
      <c r="T1444" s="6"/>
      <c r="U1444" s="6"/>
      <c r="V1444" s="6"/>
      <c r="W1444" s="7" t="str">
        <f t="shared" si="44"/>
        <v/>
      </c>
      <c r="X1444" s="8" t="str">
        <f t="shared" si="45"/>
        <v/>
      </c>
      <c r="AG1444" s="9"/>
      <c r="AH1444" s="10"/>
    </row>
    <row r="1445" spans="3:34" x14ac:dyDescent="0.35">
      <c r="C1445" s="5"/>
      <c r="D1445" s="5"/>
      <c r="T1445" s="6"/>
      <c r="U1445" s="6"/>
      <c r="V1445" s="6"/>
      <c r="W1445" s="7" t="str">
        <f t="shared" si="44"/>
        <v/>
      </c>
      <c r="X1445" s="8" t="str">
        <f t="shared" si="45"/>
        <v/>
      </c>
      <c r="AG1445" s="9"/>
      <c r="AH1445" s="10"/>
    </row>
    <row r="1446" spans="3:34" x14ac:dyDescent="0.35">
      <c r="C1446" s="5"/>
      <c r="D1446" s="5"/>
      <c r="T1446" s="6"/>
      <c r="U1446" s="6"/>
      <c r="V1446" s="6"/>
      <c r="W1446" s="7" t="str">
        <f t="shared" si="44"/>
        <v/>
      </c>
      <c r="X1446" s="8" t="str">
        <f t="shared" si="45"/>
        <v/>
      </c>
      <c r="AG1446" s="9"/>
      <c r="AH1446" s="10"/>
    </row>
    <row r="1447" spans="3:34" x14ac:dyDescent="0.35">
      <c r="C1447" s="5"/>
      <c r="D1447" s="5"/>
      <c r="T1447" s="6"/>
      <c r="U1447" s="6"/>
      <c r="V1447" s="6"/>
      <c r="W1447" s="7" t="str">
        <f t="shared" si="44"/>
        <v/>
      </c>
      <c r="X1447" s="8" t="str">
        <f t="shared" si="45"/>
        <v/>
      </c>
      <c r="AG1447" s="9"/>
      <c r="AH1447" s="10"/>
    </row>
    <row r="1448" spans="3:34" x14ac:dyDescent="0.35">
      <c r="C1448" s="5"/>
      <c r="D1448" s="5"/>
      <c r="T1448" s="6"/>
      <c r="U1448" s="6"/>
      <c r="V1448" s="6"/>
      <c r="W1448" s="7" t="str">
        <f t="shared" si="44"/>
        <v/>
      </c>
      <c r="X1448" s="8" t="str">
        <f t="shared" si="45"/>
        <v/>
      </c>
      <c r="AG1448" s="9"/>
      <c r="AH1448" s="10"/>
    </row>
    <row r="1449" spans="3:34" x14ac:dyDescent="0.35">
      <c r="C1449" s="5"/>
      <c r="D1449" s="5"/>
      <c r="T1449" s="6"/>
      <c r="U1449" s="6"/>
      <c r="V1449" s="6"/>
      <c r="W1449" s="7" t="str">
        <f t="shared" si="44"/>
        <v/>
      </c>
      <c r="X1449" s="8" t="str">
        <f t="shared" si="45"/>
        <v/>
      </c>
      <c r="AG1449" s="9"/>
      <c r="AH1449" s="10"/>
    </row>
    <row r="1450" spans="3:34" x14ac:dyDescent="0.35">
      <c r="C1450" s="5"/>
      <c r="D1450" s="5"/>
      <c r="T1450" s="6"/>
      <c r="U1450" s="6"/>
      <c r="V1450" s="6"/>
      <c r="W1450" s="7" t="str">
        <f t="shared" si="44"/>
        <v/>
      </c>
      <c r="X1450" s="8" t="str">
        <f t="shared" si="45"/>
        <v/>
      </c>
      <c r="AG1450" s="9"/>
      <c r="AH1450" s="10"/>
    </row>
    <row r="1451" spans="3:34" x14ac:dyDescent="0.35">
      <c r="C1451" s="5"/>
      <c r="D1451" s="5"/>
      <c r="T1451" s="6"/>
      <c r="U1451" s="6"/>
      <c r="V1451" s="6"/>
      <c r="W1451" s="7" t="str">
        <f t="shared" si="44"/>
        <v/>
      </c>
      <c r="X1451" s="8" t="str">
        <f t="shared" si="45"/>
        <v/>
      </c>
      <c r="AG1451" s="9"/>
      <c r="AH1451" s="10"/>
    </row>
    <row r="1452" spans="3:34" x14ac:dyDescent="0.35">
      <c r="C1452" s="5"/>
      <c r="D1452" s="5"/>
      <c r="T1452" s="6"/>
      <c r="U1452" s="6"/>
      <c r="V1452" s="6"/>
      <c r="W1452" s="7" t="str">
        <f t="shared" si="44"/>
        <v/>
      </c>
      <c r="X1452" s="8" t="str">
        <f t="shared" si="45"/>
        <v/>
      </c>
      <c r="AG1452" s="9"/>
      <c r="AH1452" s="10"/>
    </row>
    <row r="1453" spans="3:34" x14ac:dyDescent="0.35">
      <c r="C1453" s="5"/>
      <c r="D1453" s="5"/>
      <c r="T1453" s="6"/>
      <c r="U1453" s="6"/>
      <c r="V1453" s="6"/>
      <c r="W1453" s="7" t="str">
        <f t="shared" si="44"/>
        <v/>
      </c>
      <c r="X1453" s="8" t="str">
        <f t="shared" si="45"/>
        <v/>
      </c>
      <c r="AG1453" s="9"/>
      <c r="AH1453" s="10"/>
    </row>
    <row r="1454" spans="3:34" x14ac:dyDescent="0.35">
      <c r="C1454" s="5"/>
      <c r="D1454" s="5"/>
      <c r="T1454" s="6"/>
      <c r="U1454" s="6"/>
      <c r="V1454" s="6"/>
      <c r="W1454" s="7" t="str">
        <f t="shared" si="44"/>
        <v/>
      </c>
      <c r="X1454" s="8" t="str">
        <f t="shared" si="45"/>
        <v/>
      </c>
      <c r="AG1454" s="9"/>
      <c r="AH1454" s="10"/>
    </row>
    <row r="1455" spans="3:34" x14ac:dyDescent="0.35">
      <c r="C1455" s="5"/>
      <c r="D1455" s="5"/>
      <c r="T1455" s="6"/>
      <c r="U1455" s="6"/>
      <c r="V1455" s="6"/>
      <c r="W1455" s="7" t="str">
        <f t="shared" si="44"/>
        <v/>
      </c>
      <c r="X1455" s="8" t="str">
        <f t="shared" si="45"/>
        <v/>
      </c>
      <c r="AG1455" s="9"/>
      <c r="AH1455" s="10"/>
    </row>
    <row r="1456" spans="3:34" x14ac:dyDescent="0.35">
      <c r="C1456" s="5"/>
      <c r="D1456" s="5"/>
      <c r="T1456" s="6"/>
      <c r="U1456" s="6"/>
      <c r="V1456" s="6"/>
      <c r="W1456" s="7" t="str">
        <f t="shared" si="44"/>
        <v/>
      </c>
      <c r="X1456" s="8" t="str">
        <f t="shared" si="45"/>
        <v/>
      </c>
      <c r="AG1456" s="9"/>
      <c r="AH1456" s="10"/>
    </row>
    <row r="1457" spans="3:34" x14ac:dyDescent="0.35">
      <c r="C1457" s="5"/>
      <c r="D1457" s="5"/>
      <c r="T1457" s="6"/>
      <c r="U1457" s="6"/>
      <c r="V1457" s="6"/>
      <c r="W1457" s="7" t="str">
        <f t="shared" si="44"/>
        <v/>
      </c>
      <c r="X1457" s="8" t="str">
        <f t="shared" si="45"/>
        <v/>
      </c>
      <c r="AG1457" s="9"/>
      <c r="AH1457" s="10"/>
    </row>
    <row r="1458" spans="3:34" x14ac:dyDescent="0.35">
      <c r="C1458" s="5"/>
      <c r="D1458" s="5"/>
      <c r="T1458" s="6"/>
      <c r="U1458" s="6"/>
      <c r="V1458" s="6"/>
      <c r="W1458" s="7" t="str">
        <f t="shared" si="44"/>
        <v/>
      </c>
      <c r="X1458" s="8" t="str">
        <f t="shared" si="45"/>
        <v/>
      </c>
      <c r="AG1458" s="9"/>
      <c r="AH1458" s="10"/>
    </row>
    <row r="1459" spans="3:34" x14ac:dyDescent="0.35">
      <c r="C1459" s="5"/>
      <c r="D1459" s="5"/>
      <c r="T1459" s="6"/>
      <c r="U1459" s="6"/>
      <c r="V1459" s="6"/>
      <c r="W1459" s="7" t="str">
        <f t="shared" si="44"/>
        <v/>
      </c>
      <c r="X1459" s="8" t="str">
        <f t="shared" si="45"/>
        <v/>
      </c>
      <c r="AG1459" s="9"/>
      <c r="AH1459" s="10"/>
    </row>
    <row r="1460" spans="3:34" x14ac:dyDescent="0.35">
      <c r="C1460" s="5"/>
      <c r="D1460" s="5"/>
      <c r="T1460" s="6"/>
      <c r="U1460" s="6"/>
      <c r="V1460" s="6"/>
      <c r="W1460" s="7" t="str">
        <f t="shared" si="44"/>
        <v/>
      </c>
      <c r="X1460" s="8" t="str">
        <f t="shared" si="45"/>
        <v/>
      </c>
      <c r="AG1460" s="9"/>
      <c r="AH1460" s="10"/>
    </row>
    <row r="1461" spans="3:34" x14ac:dyDescent="0.35">
      <c r="C1461" s="5"/>
      <c r="D1461" s="5"/>
      <c r="T1461" s="6"/>
      <c r="U1461" s="6"/>
      <c r="V1461" s="6"/>
      <c r="W1461" s="7" t="str">
        <f t="shared" si="44"/>
        <v/>
      </c>
      <c r="X1461" s="8" t="str">
        <f t="shared" si="45"/>
        <v/>
      </c>
      <c r="AG1461" s="9"/>
      <c r="AH1461" s="10"/>
    </row>
    <row r="1462" spans="3:34" x14ac:dyDescent="0.35">
      <c r="C1462" s="5"/>
      <c r="D1462" s="5"/>
      <c r="T1462" s="6"/>
      <c r="U1462" s="6"/>
      <c r="V1462" s="6"/>
      <c r="W1462" s="7" t="str">
        <f t="shared" si="44"/>
        <v/>
      </c>
      <c r="X1462" s="8" t="str">
        <f t="shared" si="45"/>
        <v/>
      </c>
      <c r="AG1462" s="9"/>
      <c r="AH1462" s="10"/>
    </row>
    <row r="1463" spans="3:34" x14ac:dyDescent="0.35">
      <c r="C1463" s="5"/>
      <c r="D1463" s="5"/>
      <c r="T1463" s="6"/>
      <c r="U1463" s="6"/>
      <c r="V1463" s="6"/>
      <c r="W1463" s="7" t="str">
        <f t="shared" si="44"/>
        <v/>
      </c>
      <c r="X1463" s="8" t="str">
        <f t="shared" si="45"/>
        <v/>
      </c>
      <c r="AG1463" s="9"/>
      <c r="AH1463" s="10"/>
    </row>
    <row r="1464" spans="3:34" x14ac:dyDescent="0.35">
      <c r="C1464" s="5"/>
      <c r="D1464" s="5"/>
      <c r="T1464" s="6"/>
      <c r="U1464" s="6"/>
      <c r="V1464" s="6"/>
      <c r="W1464" s="7" t="str">
        <f t="shared" si="44"/>
        <v/>
      </c>
      <c r="X1464" s="8" t="str">
        <f t="shared" si="45"/>
        <v/>
      </c>
      <c r="AG1464" s="9"/>
      <c r="AH1464" s="10"/>
    </row>
    <row r="1465" spans="3:34" x14ac:dyDescent="0.35">
      <c r="C1465" s="5"/>
      <c r="D1465" s="5"/>
      <c r="T1465" s="6"/>
      <c r="U1465" s="6"/>
      <c r="V1465" s="6"/>
      <c r="W1465" s="7" t="str">
        <f t="shared" si="44"/>
        <v/>
      </c>
      <c r="X1465" s="8" t="str">
        <f t="shared" si="45"/>
        <v/>
      </c>
      <c r="AG1465" s="9"/>
      <c r="AH1465" s="10"/>
    </row>
    <row r="1466" spans="3:34" x14ac:dyDescent="0.35">
      <c r="C1466" s="5"/>
      <c r="D1466" s="5"/>
      <c r="T1466" s="6"/>
      <c r="U1466" s="6"/>
      <c r="V1466" s="6"/>
      <c r="W1466" s="7" t="str">
        <f t="shared" si="44"/>
        <v/>
      </c>
      <c r="X1466" s="8" t="str">
        <f t="shared" si="45"/>
        <v/>
      </c>
      <c r="AG1466" s="9"/>
      <c r="AH1466" s="10"/>
    </row>
    <row r="1467" spans="3:34" x14ac:dyDescent="0.35">
      <c r="C1467" s="5"/>
      <c r="D1467" s="5"/>
      <c r="T1467" s="6"/>
      <c r="U1467" s="6"/>
      <c r="V1467" s="6"/>
      <c r="W1467" s="7" t="str">
        <f t="shared" si="44"/>
        <v/>
      </c>
      <c r="X1467" s="8" t="str">
        <f t="shared" si="45"/>
        <v/>
      </c>
      <c r="AG1467" s="9"/>
      <c r="AH1467" s="10"/>
    </row>
    <row r="1468" spans="3:34" x14ac:dyDescent="0.35">
      <c r="C1468" s="5"/>
      <c r="D1468" s="5"/>
      <c r="T1468" s="6"/>
      <c r="U1468" s="6"/>
      <c r="V1468" s="6"/>
      <c r="W1468" s="7" t="str">
        <f t="shared" si="44"/>
        <v/>
      </c>
      <c r="X1468" s="8" t="str">
        <f t="shared" si="45"/>
        <v/>
      </c>
      <c r="AG1468" s="9"/>
      <c r="AH1468" s="10"/>
    </row>
    <row r="1469" spans="3:34" x14ac:dyDescent="0.35">
      <c r="C1469" s="5"/>
      <c r="D1469" s="5"/>
      <c r="T1469" s="6"/>
      <c r="U1469" s="6"/>
      <c r="V1469" s="6"/>
      <c r="W1469" s="7" t="str">
        <f t="shared" si="44"/>
        <v/>
      </c>
      <c r="X1469" s="8" t="str">
        <f t="shared" si="45"/>
        <v/>
      </c>
      <c r="AG1469" s="9"/>
      <c r="AH1469" s="10"/>
    </row>
    <row r="1470" spans="3:34" x14ac:dyDescent="0.35">
      <c r="C1470" s="5"/>
      <c r="D1470" s="5"/>
      <c r="T1470" s="6"/>
      <c r="U1470" s="6"/>
      <c r="V1470" s="6"/>
      <c r="W1470" s="7" t="str">
        <f t="shared" si="44"/>
        <v/>
      </c>
      <c r="X1470" s="8" t="str">
        <f t="shared" si="45"/>
        <v/>
      </c>
      <c r="AG1470" s="9"/>
      <c r="AH1470" s="10"/>
    </row>
    <row r="1471" spans="3:34" x14ac:dyDescent="0.35">
      <c r="C1471" s="5"/>
      <c r="D1471" s="5"/>
      <c r="T1471" s="6"/>
      <c r="U1471" s="6"/>
      <c r="V1471" s="6"/>
      <c r="W1471" s="7" t="str">
        <f t="shared" si="44"/>
        <v/>
      </c>
      <c r="X1471" s="8" t="str">
        <f t="shared" si="45"/>
        <v/>
      </c>
      <c r="AG1471" s="9"/>
      <c r="AH1471" s="10"/>
    </row>
    <row r="1472" spans="3:34" x14ac:dyDescent="0.35">
      <c r="C1472" s="5"/>
      <c r="D1472" s="5"/>
      <c r="T1472" s="6"/>
      <c r="U1472" s="6"/>
      <c r="V1472" s="6"/>
      <c r="W1472" s="7" t="str">
        <f t="shared" si="44"/>
        <v/>
      </c>
      <c r="X1472" s="8" t="str">
        <f t="shared" si="45"/>
        <v/>
      </c>
      <c r="AG1472" s="9"/>
      <c r="AH1472" s="10"/>
    </row>
    <row r="1473" spans="3:34" x14ac:dyDescent="0.35">
      <c r="C1473" s="5"/>
      <c r="D1473" s="5"/>
      <c r="T1473" s="6"/>
      <c r="U1473" s="6"/>
      <c r="V1473" s="6"/>
      <c r="W1473" s="7" t="str">
        <f t="shared" si="44"/>
        <v/>
      </c>
      <c r="X1473" s="8" t="str">
        <f t="shared" si="45"/>
        <v/>
      </c>
      <c r="AG1473" s="9"/>
      <c r="AH1473" s="10"/>
    </row>
    <row r="1474" spans="3:34" x14ac:dyDescent="0.35">
      <c r="C1474" s="5"/>
      <c r="D1474" s="5"/>
      <c r="T1474" s="6"/>
      <c r="U1474" s="6"/>
      <c r="V1474" s="6"/>
      <c r="W1474" s="7" t="str">
        <f t="shared" ref="W1474:W1537" si="46">IF($U1474&gt;0,$U1474-$V1474,"")</f>
        <v/>
      </c>
      <c r="X1474" s="8" t="str">
        <f t="shared" ref="X1474:X1537" si="47">IF($U1474&gt;0,($U1474-$V1474)/$U1474,"")</f>
        <v/>
      </c>
      <c r="AG1474" s="9"/>
      <c r="AH1474" s="10"/>
    </row>
    <row r="1475" spans="3:34" x14ac:dyDescent="0.35">
      <c r="C1475" s="5"/>
      <c r="D1475" s="5"/>
      <c r="T1475" s="6"/>
      <c r="U1475" s="6"/>
      <c r="V1475" s="6"/>
      <c r="W1475" s="7" t="str">
        <f t="shared" si="46"/>
        <v/>
      </c>
      <c r="X1475" s="8" t="str">
        <f t="shared" si="47"/>
        <v/>
      </c>
      <c r="AG1475" s="9"/>
      <c r="AH1475" s="10"/>
    </row>
    <row r="1476" spans="3:34" x14ac:dyDescent="0.35">
      <c r="C1476" s="5"/>
      <c r="D1476" s="5"/>
      <c r="T1476" s="6"/>
      <c r="U1476" s="6"/>
      <c r="V1476" s="6"/>
      <c r="W1476" s="7" t="str">
        <f t="shared" si="46"/>
        <v/>
      </c>
      <c r="X1476" s="8" t="str">
        <f t="shared" si="47"/>
        <v/>
      </c>
      <c r="AG1476" s="9"/>
      <c r="AH1476" s="10"/>
    </row>
    <row r="1477" spans="3:34" x14ac:dyDescent="0.35">
      <c r="C1477" s="5"/>
      <c r="D1477" s="5"/>
      <c r="T1477" s="6"/>
      <c r="U1477" s="6"/>
      <c r="V1477" s="6"/>
      <c r="W1477" s="7" t="str">
        <f t="shared" si="46"/>
        <v/>
      </c>
      <c r="X1477" s="8" t="str">
        <f t="shared" si="47"/>
        <v/>
      </c>
      <c r="AG1477" s="9"/>
      <c r="AH1477" s="10"/>
    </row>
    <row r="1478" spans="3:34" x14ac:dyDescent="0.35">
      <c r="C1478" s="5"/>
      <c r="D1478" s="5"/>
      <c r="T1478" s="6"/>
      <c r="U1478" s="6"/>
      <c r="V1478" s="6"/>
      <c r="W1478" s="7" t="str">
        <f t="shared" si="46"/>
        <v/>
      </c>
      <c r="X1478" s="8" t="str">
        <f t="shared" si="47"/>
        <v/>
      </c>
      <c r="AG1478" s="9"/>
      <c r="AH1478" s="10"/>
    </row>
    <row r="1479" spans="3:34" x14ac:dyDescent="0.35">
      <c r="C1479" s="5"/>
      <c r="D1479" s="5"/>
      <c r="T1479" s="6"/>
      <c r="U1479" s="6"/>
      <c r="V1479" s="6"/>
      <c r="W1479" s="7" t="str">
        <f t="shared" si="46"/>
        <v/>
      </c>
      <c r="X1479" s="8" t="str">
        <f t="shared" si="47"/>
        <v/>
      </c>
      <c r="AG1479" s="9"/>
      <c r="AH1479" s="10"/>
    </row>
    <row r="1480" spans="3:34" x14ac:dyDescent="0.35">
      <c r="C1480" s="5"/>
      <c r="D1480" s="5"/>
      <c r="T1480" s="6"/>
      <c r="U1480" s="6"/>
      <c r="V1480" s="6"/>
      <c r="W1480" s="7" t="str">
        <f t="shared" si="46"/>
        <v/>
      </c>
      <c r="X1480" s="8" t="str">
        <f t="shared" si="47"/>
        <v/>
      </c>
      <c r="AG1480" s="9"/>
      <c r="AH1480" s="10"/>
    </row>
    <row r="1481" spans="3:34" x14ac:dyDescent="0.35">
      <c r="C1481" s="5"/>
      <c r="D1481" s="5"/>
      <c r="T1481" s="6"/>
      <c r="U1481" s="6"/>
      <c r="V1481" s="6"/>
      <c r="W1481" s="7" t="str">
        <f t="shared" si="46"/>
        <v/>
      </c>
      <c r="X1481" s="8" t="str">
        <f t="shared" si="47"/>
        <v/>
      </c>
      <c r="AG1481" s="9"/>
      <c r="AH1481" s="10"/>
    </row>
    <row r="1482" spans="3:34" x14ac:dyDescent="0.35">
      <c r="C1482" s="5"/>
      <c r="D1482" s="5"/>
      <c r="T1482" s="6"/>
      <c r="U1482" s="6"/>
      <c r="V1482" s="6"/>
      <c r="W1482" s="7" t="str">
        <f t="shared" si="46"/>
        <v/>
      </c>
      <c r="X1482" s="8" t="str">
        <f t="shared" si="47"/>
        <v/>
      </c>
      <c r="AG1482" s="9"/>
      <c r="AH1482" s="10"/>
    </row>
    <row r="1483" spans="3:34" x14ac:dyDescent="0.35">
      <c r="C1483" s="5"/>
      <c r="D1483" s="5"/>
      <c r="T1483" s="6"/>
      <c r="U1483" s="6"/>
      <c r="V1483" s="6"/>
      <c r="W1483" s="7" t="str">
        <f t="shared" si="46"/>
        <v/>
      </c>
      <c r="X1483" s="8" t="str">
        <f t="shared" si="47"/>
        <v/>
      </c>
      <c r="AG1483" s="9"/>
      <c r="AH1483" s="10"/>
    </row>
    <row r="1484" spans="3:34" x14ac:dyDescent="0.35">
      <c r="C1484" s="5"/>
      <c r="D1484" s="5"/>
      <c r="T1484" s="6"/>
      <c r="U1484" s="6"/>
      <c r="V1484" s="6"/>
      <c r="W1484" s="7" t="str">
        <f t="shared" si="46"/>
        <v/>
      </c>
      <c r="X1484" s="8" t="str">
        <f t="shared" si="47"/>
        <v/>
      </c>
      <c r="AG1484" s="9"/>
      <c r="AH1484" s="10"/>
    </row>
    <row r="1485" spans="3:34" x14ac:dyDescent="0.35">
      <c r="C1485" s="5"/>
      <c r="D1485" s="5"/>
      <c r="T1485" s="6"/>
      <c r="U1485" s="6"/>
      <c r="V1485" s="6"/>
      <c r="W1485" s="7" t="str">
        <f t="shared" si="46"/>
        <v/>
      </c>
      <c r="X1485" s="8" t="str">
        <f t="shared" si="47"/>
        <v/>
      </c>
      <c r="AG1485" s="9"/>
      <c r="AH1485" s="10"/>
    </row>
    <row r="1486" spans="3:34" x14ac:dyDescent="0.35">
      <c r="C1486" s="5"/>
      <c r="D1486" s="5"/>
      <c r="T1486" s="6"/>
      <c r="U1486" s="6"/>
      <c r="V1486" s="6"/>
      <c r="W1486" s="7" t="str">
        <f t="shared" si="46"/>
        <v/>
      </c>
      <c r="X1486" s="8" t="str">
        <f t="shared" si="47"/>
        <v/>
      </c>
      <c r="AG1486" s="9"/>
      <c r="AH1486" s="10"/>
    </row>
    <row r="1487" spans="3:34" x14ac:dyDescent="0.35">
      <c r="C1487" s="5"/>
      <c r="D1487" s="5"/>
      <c r="T1487" s="6"/>
      <c r="U1487" s="6"/>
      <c r="V1487" s="6"/>
      <c r="W1487" s="7" t="str">
        <f t="shared" si="46"/>
        <v/>
      </c>
      <c r="X1487" s="8" t="str">
        <f t="shared" si="47"/>
        <v/>
      </c>
      <c r="AG1487" s="9"/>
      <c r="AH1487" s="10"/>
    </row>
    <row r="1488" spans="3:34" x14ac:dyDescent="0.35">
      <c r="C1488" s="5"/>
      <c r="D1488" s="5"/>
      <c r="T1488" s="6"/>
      <c r="U1488" s="6"/>
      <c r="V1488" s="6"/>
      <c r="W1488" s="7" t="str">
        <f t="shared" si="46"/>
        <v/>
      </c>
      <c r="X1488" s="8" t="str">
        <f t="shared" si="47"/>
        <v/>
      </c>
      <c r="AG1488" s="9"/>
      <c r="AH1488" s="10"/>
    </row>
    <row r="1489" spans="3:34" x14ac:dyDescent="0.35">
      <c r="C1489" s="5"/>
      <c r="D1489" s="5"/>
      <c r="T1489" s="6"/>
      <c r="U1489" s="6"/>
      <c r="V1489" s="6"/>
      <c r="W1489" s="7" t="str">
        <f t="shared" si="46"/>
        <v/>
      </c>
      <c r="X1489" s="8" t="str">
        <f t="shared" si="47"/>
        <v/>
      </c>
      <c r="AG1489" s="9"/>
      <c r="AH1489" s="10"/>
    </row>
    <row r="1490" spans="3:34" x14ac:dyDescent="0.35">
      <c r="C1490" s="5"/>
      <c r="D1490" s="5"/>
      <c r="T1490" s="6"/>
      <c r="U1490" s="6"/>
      <c r="V1490" s="6"/>
      <c r="W1490" s="7" t="str">
        <f t="shared" si="46"/>
        <v/>
      </c>
      <c r="X1490" s="8" t="str">
        <f t="shared" si="47"/>
        <v/>
      </c>
      <c r="AG1490" s="9"/>
      <c r="AH1490" s="10"/>
    </row>
    <row r="1491" spans="3:34" x14ac:dyDescent="0.35">
      <c r="C1491" s="5"/>
      <c r="D1491" s="5"/>
      <c r="T1491" s="6"/>
      <c r="U1491" s="6"/>
      <c r="V1491" s="6"/>
      <c r="W1491" s="7" t="str">
        <f t="shared" si="46"/>
        <v/>
      </c>
      <c r="X1491" s="8" t="str">
        <f t="shared" si="47"/>
        <v/>
      </c>
      <c r="AG1491" s="9"/>
      <c r="AH1491" s="10"/>
    </row>
    <row r="1492" spans="3:34" x14ac:dyDescent="0.35">
      <c r="C1492" s="5"/>
      <c r="D1492" s="5"/>
      <c r="T1492" s="6"/>
      <c r="U1492" s="6"/>
      <c r="V1492" s="6"/>
      <c r="W1492" s="7" t="str">
        <f t="shared" si="46"/>
        <v/>
      </c>
      <c r="X1492" s="8" t="str">
        <f t="shared" si="47"/>
        <v/>
      </c>
      <c r="AG1492" s="9"/>
      <c r="AH1492" s="10"/>
    </row>
    <row r="1493" spans="3:34" x14ac:dyDescent="0.35">
      <c r="C1493" s="5"/>
      <c r="D1493" s="5"/>
      <c r="T1493" s="6"/>
      <c r="U1493" s="6"/>
      <c r="V1493" s="6"/>
      <c r="W1493" s="7" t="str">
        <f t="shared" si="46"/>
        <v/>
      </c>
      <c r="X1493" s="8" t="str">
        <f t="shared" si="47"/>
        <v/>
      </c>
      <c r="AG1493" s="9"/>
      <c r="AH1493" s="10"/>
    </row>
    <row r="1494" spans="3:34" x14ac:dyDescent="0.35">
      <c r="C1494" s="5"/>
      <c r="D1494" s="5"/>
      <c r="T1494" s="6"/>
      <c r="U1494" s="6"/>
      <c r="V1494" s="6"/>
      <c r="W1494" s="7" t="str">
        <f t="shared" si="46"/>
        <v/>
      </c>
      <c r="X1494" s="8" t="str">
        <f t="shared" si="47"/>
        <v/>
      </c>
      <c r="AG1494" s="9"/>
      <c r="AH1494" s="10"/>
    </row>
    <row r="1495" spans="3:34" x14ac:dyDescent="0.35">
      <c r="C1495" s="5"/>
      <c r="D1495" s="5"/>
      <c r="T1495" s="6"/>
      <c r="U1495" s="6"/>
      <c r="V1495" s="6"/>
      <c r="W1495" s="7" t="str">
        <f t="shared" si="46"/>
        <v/>
      </c>
      <c r="X1495" s="8" t="str">
        <f t="shared" si="47"/>
        <v/>
      </c>
      <c r="AG1495" s="9"/>
      <c r="AH1495" s="10"/>
    </row>
    <row r="1496" spans="3:34" x14ac:dyDescent="0.35">
      <c r="C1496" s="5"/>
      <c r="D1496" s="5"/>
      <c r="T1496" s="6"/>
      <c r="U1496" s="6"/>
      <c r="V1496" s="6"/>
      <c r="W1496" s="7" t="str">
        <f t="shared" si="46"/>
        <v/>
      </c>
      <c r="X1496" s="8" t="str">
        <f t="shared" si="47"/>
        <v/>
      </c>
      <c r="AG1496" s="9"/>
      <c r="AH1496" s="10"/>
    </row>
    <row r="1497" spans="3:34" x14ac:dyDescent="0.35">
      <c r="C1497" s="5"/>
      <c r="D1497" s="5"/>
      <c r="T1497" s="6"/>
      <c r="U1497" s="6"/>
      <c r="V1497" s="6"/>
      <c r="W1497" s="7" t="str">
        <f t="shared" si="46"/>
        <v/>
      </c>
      <c r="X1497" s="8" t="str">
        <f t="shared" si="47"/>
        <v/>
      </c>
      <c r="AG1497" s="9"/>
      <c r="AH1497" s="10"/>
    </row>
    <row r="1498" spans="3:34" x14ac:dyDescent="0.35">
      <c r="C1498" s="5"/>
      <c r="D1498" s="5"/>
      <c r="T1498" s="6"/>
      <c r="U1498" s="6"/>
      <c r="V1498" s="6"/>
      <c r="W1498" s="7" t="str">
        <f t="shared" si="46"/>
        <v/>
      </c>
      <c r="X1498" s="8" t="str">
        <f t="shared" si="47"/>
        <v/>
      </c>
      <c r="AG1498" s="9"/>
      <c r="AH1498" s="10"/>
    </row>
    <row r="1499" spans="3:34" x14ac:dyDescent="0.35">
      <c r="C1499" s="5"/>
      <c r="D1499" s="5"/>
      <c r="T1499" s="6"/>
      <c r="U1499" s="6"/>
      <c r="V1499" s="6"/>
      <c r="W1499" s="7" t="str">
        <f t="shared" si="46"/>
        <v/>
      </c>
      <c r="X1499" s="8" t="str">
        <f t="shared" si="47"/>
        <v/>
      </c>
      <c r="AG1499" s="9"/>
      <c r="AH1499" s="10"/>
    </row>
    <row r="1500" spans="3:34" x14ac:dyDescent="0.35">
      <c r="C1500" s="5"/>
      <c r="D1500" s="5"/>
      <c r="T1500" s="6"/>
      <c r="U1500" s="6"/>
      <c r="V1500" s="6"/>
      <c r="W1500" s="7" t="str">
        <f t="shared" si="46"/>
        <v/>
      </c>
      <c r="X1500" s="8" t="str">
        <f t="shared" si="47"/>
        <v/>
      </c>
      <c r="AG1500" s="9"/>
      <c r="AH1500" s="10"/>
    </row>
    <row r="1501" spans="3:34" x14ac:dyDescent="0.35">
      <c r="C1501" s="5"/>
      <c r="D1501" s="5"/>
      <c r="T1501" s="6"/>
      <c r="U1501" s="6"/>
      <c r="V1501" s="6"/>
      <c r="W1501" s="7" t="str">
        <f t="shared" si="46"/>
        <v/>
      </c>
      <c r="X1501" s="8" t="str">
        <f t="shared" si="47"/>
        <v/>
      </c>
      <c r="AG1501" s="9"/>
      <c r="AH1501" s="10"/>
    </row>
    <row r="1502" spans="3:34" x14ac:dyDescent="0.35">
      <c r="C1502" s="5"/>
      <c r="D1502" s="5"/>
      <c r="T1502" s="6"/>
      <c r="U1502" s="6"/>
      <c r="V1502" s="6"/>
      <c r="W1502" s="7" t="str">
        <f t="shared" si="46"/>
        <v/>
      </c>
      <c r="X1502" s="8" t="str">
        <f t="shared" si="47"/>
        <v/>
      </c>
      <c r="AG1502" s="9"/>
      <c r="AH1502" s="10"/>
    </row>
    <row r="1503" spans="3:34" x14ac:dyDescent="0.35">
      <c r="C1503" s="5"/>
      <c r="D1503" s="5"/>
      <c r="T1503" s="6"/>
      <c r="U1503" s="6"/>
      <c r="V1503" s="6"/>
      <c r="W1503" s="7" t="str">
        <f t="shared" si="46"/>
        <v/>
      </c>
      <c r="X1503" s="8" t="str">
        <f t="shared" si="47"/>
        <v/>
      </c>
      <c r="AG1503" s="9"/>
      <c r="AH1503" s="10"/>
    </row>
    <row r="1504" spans="3:34" x14ac:dyDescent="0.35">
      <c r="C1504" s="5"/>
      <c r="D1504" s="5"/>
      <c r="T1504" s="6"/>
      <c r="U1504" s="6"/>
      <c r="V1504" s="6"/>
      <c r="W1504" s="7" t="str">
        <f t="shared" si="46"/>
        <v/>
      </c>
      <c r="X1504" s="8" t="str">
        <f t="shared" si="47"/>
        <v/>
      </c>
      <c r="AG1504" s="9"/>
      <c r="AH1504" s="10"/>
    </row>
    <row r="1505" spans="3:34" x14ac:dyDescent="0.35">
      <c r="C1505" s="5"/>
      <c r="D1505" s="5"/>
      <c r="T1505" s="6"/>
      <c r="U1505" s="6"/>
      <c r="V1505" s="6"/>
      <c r="W1505" s="7" t="str">
        <f t="shared" si="46"/>
        <v/>
      </c>
      <c r="X1505" s="8" t="str">
        <f t="shared" si="47"/>
        <v/>
      </c>
      <c r="AG1505" s="9"/>
      <c r="AH1505" s="10"/>
    </row>
    <row r="1506" spans="3:34" x14ac:dyDescent="0.35">
      <c r="C1506" s="5"/>
      <c r="D1506" s="5"/>
      <c r="T1506" s="6"/>
      <c r="U1506" s="6"/>
      <c r="V1506" s="6"/>
      <c r="W1506" s="7" t="str">
        <f t="shared" si="46"/>
        <v/>
      </c>
      <c r="X1506" s="8" t="str">
        <f t="shared" si="47"/>
        <v/>
      </c>
      <c r="AG1506" s="9"/>
      <c r="AH1506" s="10"/>
    </row>
    <row r="1507" spans="3:34" x14ac:dyDescent="0.35">
      <c r="C1507" s="5"/>
      <c r="D1507" s="5"/>
      <c r="T1507" s="6"/>
      <c r="U1507" s="6"/>
      <c r="V1507" s="6"/>
      <c r="W1507" s="7" t="str">
        <f t="shared" si="46"/>
        <v/>
      </c>
      <c r="X1507" s="8" t="str">
        <f t="shared" si="47"/>
        <v/>
      </c>
      <c r="AG1507" s="9"/>
      <c r="AH1507" s="10"/>
    </row>
    <row r="1508" spans="3:34" x14ac:dyDescent="0.35">
      <c r="C1508" s="5"/>
      <c r="D1508" s="5"/>
      <c r="T1508" s="6"/>
      <c r="U1508" s="6"/>
      <c r="V1508" s="6"/>
      <c r="W1508" s="7" t="str">
        <f t="shared" si="46"/>
        <v/>
      </c>
      <c r="X1508" s="8" t="str">
        <f t="shared" si="47"/>
        <v/>
      </c>
      <c r="AG1508" s="9"/>
      <c r="AH1508" s="10"/>
    </row>
    <row r="1509" spans="3:34" x14ac:dyDescent="0.35">
      <c r="C1509" s="5"/>
      <c r="D1509" s="5"/>
      <c r="T1509" s="6"/>
      <c r="U1509" s="6"/>
      <c r="V1509" s="6"/>
      <c r="W1509" s="7" t="str">
        <f t="shared" si="46"/>
        <v/>
      </c>
      <c r="X1509" s="8" t="str">
        <f t="shared" si="47"/>
        <v/>
      </c>
      <c r="AG1509" s="9"/>
      <c r="AH1509" s="10"/>
    </row>
    <row r="1510" spans="3:34" x14ac:dyDescent="0.35">
      <c r="C1510" s="5"/>
      <c r="D1510" s="5"/>
      <c r="T1510" s="6"/>
      <c r="U1510" s="6"/>
      <c r="V1510" s="6"/>
      <c r="W1510" s="7" t="str">
        <f t="shared" si="46"/>
        <v/>
      </c>
      <c r="X1510" s="8" t="str">
        <f t="shared" si="47"/>
        <v/>
      </c>
      <c r="AG1510" s="9"/>
      <c r="AH1510" s="10"/>
    </row>
    <row r="1511" spans="3:34" x14ac:dyDescent="0.35">
      <c r="C1511" s="5"/>
      <c r="D1511" s="5"/>
      <c r="T1511" s="6"/>
      <c r="U1511" s="6"/>
      <c r="V1511" s="6"/>
      <c r="W1511" s="7" t="str">
        <f t="shared" si="46"/>
        <v/>
      </c>
      <c r="X1511" s="8" t="str">
        <f t="shared" si="47"/>
        <v/>
      </c>
      <c r="AG1511" s="9"/>
      <c r="AH1511" s="10"/>
    </row>
    <row r="1512" spans="3:34" x14ac:dyDescent="0.35">
      <c r="C1512" s="5"/>
      <c r="D1512" s="5"/>
      <c r="T1512" s="6"/>
      <c r="U1512" s="6"/>
      <c r="V1512" s="6"/>
      <c r="W1512" s="7" t="str">
        <f t="shared" si="46"/>
        <v/>
      </c>
      <c r="X1512" s="8" t="str">
        <f t="shared" si="47"/>
        <v/>
      </c>
      <c r="AG1512" s="9"/>
      <c r="AH1512" s="10"/>
    </row>
    <row r="1513" spans="3:34" x14ac:dyDescent="0.35">
      <c r="C1513" s="5"/>
      <c r="D1513" s="5"/>
      <c r="T1513" s="6"/>
      <c r="U1513" s="6"/>
      <c r="V1513" s="6"/>
      <c r="W1513" s="7" t="str">
        <f t="shared" si="46"/>
        <v/>
      </c>
      <c r="X1513" s="8" t="str">
        <f t="shared" si="47"/>
        <v/>
      </c>
      <c r="AG1513" s="9"/>
      <c r="AH1513" s="10"/>
    </row>
    <row r="1514" spans="3:34" x14ac:dyDescent="0.35">
      <c r="C1514" s="5"/>
      <c r="D1514" s="5"/>
      <c r="T1514" s="6"/>
      <c r="U1514" s="6"/>
      <c r="V1514" s="6"/>
      <c r="W1514" s="7" t="str">
        <f t="shared" si="46"/>
        <v/>
      </c>
      <c r="X1514" s="8" t="str">
        <f t="shared" si="47"/>
        <v/>
      </c>
      <c r="AG1514" s="9"/>
      <c r="AH1514" s="10"/>
    </row>
    <row r="1515" spans="3:34" x14ac:dyDescent="0.35">
      <c r="C1515" s="5"/>
      <c r="D1515" s="5"/>
      <c r="T1515" s="6"/>
      <c r="U1515" s="6"/>
      <c r="V1515" s="6"/>
      <c r="W1515" s="7" t="str">
        <f t="shared" si="46"/>
        <v/>
      </c>
      <c r="X1515" s="8" t="str">
        <f t="shared" si="47"/>
        <v/>
      </c>
      <c r="AG1515" s="9"/>
      <c r="AH1515" s="10"/>
    </row>
    <row r="1516" spans="3:34" x14ac:dyDescent="0.35">
      <c r="C1516" s="5"/>
      <c r="D1516" s="5"/>
      <c r="T1516" s="6"/>
      <c r="U1516" s="6"/>
      <c r="V1516" s="6"/>
      <c r="W1516" s="7" t="str">
        <f t="shared" si="46"/>
        <v/>
      </c>
      <c r="X1516" s="8" t="str">
        <f t="shared" si="47"/>
        <v/>
      </c>
      <c r="AG1516" s="9"/>
      <c r="AH1516" s="10"/>
    </row>
    <row r="1517" spans="3:34" x14ac:dyDescent="0.35">
      <c r="C1517" s="5"/>
      <c r="D1517" s="5"/>
      <c r="T1517" s="6"/>
      <c r="U1517" s="6"/>
      <c r="V1517" s="6"/>
      <c r="W1517" s="7" t="str">
        <f t="shared" si="46"/>
        <v/>
      </c>
      <c r="X1517" s="8" t="str">
        <f t="shared" si="47"/>
        <v/>
      </c>
      <c r="AG1517" s="9"/>
      <c r="AH1517" s="10"/>
    </row>
    <row r="1518" spans="3:34" x14ac:dyDescent="0.35">
      <c r="C1518" s="5"/>
      <c r="D1518" s="5"/>
      <c r="T1518" s="6"/>
      <c r="U1518" s="6"/>
      <c r="V1518" s="6"/>
      <c r="W1518" s="7" t="str">
        <f t="shared" si="46"/>
        <v/>
      </c>
      <c r="X1518" s="8" t="str">
        <f t="shared" si="47"/>
        <v/>
      </c>
      <c r="AG1518" s="9"/>
      <c r="AH1518" s="10"/>
    </row>
    <row r="1519" spans="3:34" x14ac:dyDescent="0.35">
      <c r="C1519" s="5"/>
      <c r="D1519" s="5"/>
      <c r="T1519" s="6"/>
      <c r="U1519" s="6"/>
      <c r="V1519" s="6"/>
      <c r="W1519" s="7" t="str">
        <f t="shared" si="46"/>
        <v/>
      </c>
      <c r="X1519" s="8" t="str">
        <f t="shared" si="47"/>
        <v/>
      </c>
      <c r="AG1519" s="9"/>
      <c r="AH1519" s="10"/>
    </row>
    <row r="1520" spans="3:34" x14ac:dyDescent="0.35">
      <c r="C1520" s="5"/>
      <c r="D1520" s="5"/>
      <c r="T1520" s="6"/>
      <c r="U1520" s="6"/>
      <c r="V1520" s="6"/>
      <c r="W1520" s="7" t="str">
        <f t="shared" si="46"/>
        <v/>
      </c>
      <c r="X1520" s="8" t="str">
        <f t="shared" si="47"/>
        <v/>
      </c>
      <c r="AG1520" s="9"/>
      <c r="AH1520" s="10"/>
    </row>
    <row r="1521" spans="3:34" x14ac:dyDescent="0.35">
      <c r="C1521" s="5"/>
      <c r="D1521" s="5"/>
      <c r="T1521" s="6"/>
      <c r="U1521" s="6"/>
      <c r="V1521" s="6"/>
      <c r="W1521" s="7" t="str">
        <f t="shared" si="46"/>
        <v/>
      </c>
      <c r="X1521" s="8" t="str">
        <f t="shared" si="47"/>
        <v/>
      </c>
      <c r="AG1521" s="9"/>
      <c r="AH1521" s="10"/>
    </row>
    <row r="1522" spans="3:34" x14ac:dyDescent="0.35">
      <c r="C1522" s="5"/>
      <c r="D1522" s="5"/>
      <c r="T1522" s="6"/>
      <c r="U1522" s="6"/>
      <c r="V1522" s="6"/>
      <c r="W1522" s="7" t="str">
        <f t="shared" si="46"/>
        <v/>
      </c>
      <c r="X1522" s="8" t="str">
        <f t="shared" si="47"/>
        <v/>
      </c>
      <c r="AG1522" s="9"/>
      <c r="AH1522" s="10"/>
    </row>
    <row r="1523" spans="3:34" x14ac:dyDescent="0.35">
      <c r="C1523" s="5"/>
      <c r="D1523" s="5"/>
      <c r="T1523" s="6"/>
      <c r="U1523" s="6"/>
      <c r="V1523" s="6"/>
      <c r="W1523" s="7" t="str">
        <f t="shared" si="46"/>
        <v/>
      </c>
      <c r="X1523" s="8" t="str">
        <f t="shared" si="47"/>
        <v/>
      </c>
      <c r="AG1523" s="9"/>
      <c r="AH1523" s="10"/>
    </row>
    <row r="1524" spans="3:34" x14ac:dyDescent="0.35">
      <c r="C1524" s="5"/>
      <c r="D1524" s="5"/>
      <c r="T1524" s="6"/>
      <c r="U1524" s="6"/>
      <c r="V1524" s="6"/>
      <c r="W1524" s="7" t="str">
        <f t="shared" si="46"/>
        <v/>
      </c>
      <c r="X1524" s="8" t="str">
        <f t="shared" si="47"/>
        <v/>
      </c>
      <c r="AG1524" s="9"/>
      <c r="AH1524" s="10"/>
    </row>
    <row r="1525" spans="3:34" x14ac:dyDescent="0.35">
      <c r="C1525" s="5"/>
      <c r="D1525" s="5"/>
      <c r="T1525" s="6"/>
      <c r="U1525" s="6"/>
      <c r="V1525" s="6"/>
      <c r="W1525" s="7" t="str">
        <f t="shared" si="46"/>
        <v/>
      </c>
      <c r="X1525" s="8" t="str">
        <f t="shared" si="47"/>
        <v/>
      </c>
      <c r="AG1525" s="9"/>
      <c r="AH1525" s="10"/>
    </row>
    <row r="1526" spans="3:34" x14ac:dyDescent="0.35">
      <c r="C1526" s="5"/>
      <c r="D1526" s="5"/>
      <c r="T1526" s="6"/>
      <c r="U1526" s="6"/>
      <c r="V1526" s="6"/>
      <c r="W1526" s="7" t="str">
        <f t="shared" si="46"/>
        <v/>
      </c>
      <c r="X1526" s="8" t="str">
        <f t="shared" si="47"/>
        <v/>
      </c>
      <c r="AG1526" s="9"/>
      <c r="AH1526" s="10"/>
    </row>
    <row r="1527" spans="3:34" x14ac:dyDescent="0.35">
      <c r="C1527" s="5"/>
      <c r="D1527" s="5"/>
      <c r="T1527" s="6"/>
      <c r="U1527" s="6"/>
      <c r="V1527" s="6"/>
      <c r="W1527" s="7" t="str">
        <f t="shared" si="46"/>
        <v/>
      </c>
      <c r="X1527" s="8" t="str">
        <f t="shared" si="47"/>
        <v/>
      </c>
      <c r="AG1527" s="9"/>
      <c r="AH1527" s="10"/>
    </row>
    <row r="1528" spans="3:34" x14ac:dyDescent="0.35">
      <c r="C1528" s="5"/>
      <c r="D1528" s="5"/>
      <c r="T1528" s="6"/>
      <c r="U1528" s="6"/>
      <c r="V1528" s="6"/>
      <c r="W1528" s="7" t="str">
        <f t="shared" si="46"/>
        <v/>
      </c>
      <c r="X1528" s="8" t="str">
        <f t="shared" si="47"/>
        <v/>
      </c>
      <c r="AG1528" s="9"/>
      <c r="AH1528" s="10"/>
    </row>
    <row r="1529" spans="3:34" x14ac:dyDescent="0.35">
      <c r="C1529" s="5"/>
      <c r="D1529" s="5"/>
      <c r="T1529" s="6"/>
      <c r="U1529" s="6"/>
      <c r="V1529" s="6"/>
      <c r="W1529" s="7" t="str">
        <f t="shared" si="46"/>
        <v/>
      </c>
      <c r="X1529" s="8" t="str">
        <f t="shared" si="47"/>
        <v/>
      </c>
      <c r="AG1529" s="9"/>
      <c r="AH1529" s="10"/>
    </row>
    <row r="1530" spans="3:34" x14ac:dyDescent="0.35">
      <c r="C1530" s="5"/>
      <c r="D1530" s="5"/>
      <c r="T1530" s="6"/>
      <c r="U1530" s="6"/>
      <c r="V1530" s="6"/>
      <c r="W1530" s="7" t="str">
        <f t="shared" si="46"/>
        <v/>
      </c>
      <c r="X1530" s="8" t="str">
        <f t="shared" si="47"/>
        <v/>
      </c>
      <c r="AG1530" s="9"/>
      <c r="AH1530" s="10"/>
    </row>
    <row r="1531" spans="3:34" x14ac:dyDescent="0.35">
      <c r="C1531" s="5"/>
      <c r="D1531" s="5"/>
      <c r="T1531" s="6"/>
      <c r="U1531" s="6"/>
      <c r="V1531" s="6"/>
      <c r="W1531" s="7" t="str">
        <f t="shared" si="46"/>
        <v/>
      </c>
      <c r="X1531" s="8" t="str">
        <f t="shared" si="47"/>
        <v/>
      </c>
      <c r="AG1531" s="9"/>
      <c r="AH1531" s="10"/>
    </row>
    <row r="1532" spans="3:34" x14ac:dyDescent="0.35">
      <c r="C1532" s="5"/>
      <c r="D1532" s="5"/>
      <c r="T1532" s="6"/>
      <c r="U1532" s="6"/>
      <c r="V1532" s="6"/>
      <c r="W1532" s="7" t="str">
        <f t="shared" si="46"/>
        <v/>
      </c>
      <c r="X1532" s="8" t="str">
        <f t="shared" si="47"/>
        <v/>
      </c>
      <c r="AG1532" s="9"/>
      <c r="AH1532" s="10"/>
    </row>
    <row r="1533" spans="3:34" x14ac:dyDescent="0.35">
      <c r="C1533" s="5"/>
      <c r="D1533" s="5"/>
      <c r="T1533" s="6"/>
      <c r="U1533" s="6"/>
      <c r="V1533" s="6"/>
      <c r="W1533" s="7" t="str">
        <f t="shared" si="46"/>
        <v/>
      </c>
      <c r="X1533" s="8" t="str">
        <f t="shared" si="47"/>
        <v/>
      </c>
      <c r="AG1533" s="9"/>
      <c r="AH1533" s="10"/>
    </row>
    <row r="1534" spans="3:34" x14ac:dyDescent="0.35">
      <c r="C1534" s="5"/>
      <c r="D1534" s="5"/>
      <c r="T1534" s="6"/>
      <c r="U1534" s="6"/>
      <c r="V1534" s="6"/>
      <c r="W1534" s="7" t="str">
        <f t="shared" si="46"/>
        <v/>
      </c>
      <c r="X1534" s="8" t="str">
        <f t="shared" si="47"/>
        <v/>
      </c>
      <c r="AG1534" s="9"/>
      <c r="AH1534" s="10"/>
    </row>
    <row r="1535" spans="3:34" x14ac:dyDescent="0.35">
      <c r="C1535" s="5"/>
      <c r="D1535" s="5"/>
      <c r="T1535" s="6"/>
      <c r="U1535" s="6"/>
      <c r="V1535" s="6"/>
      <c r="W1535" s="7" t="str">
        <f t="shared" si="46"/>
        <v/>
      </c>
      <c r="X1535" s="8" t="str">
        <f t="shared" si="47"/>
        <v/>
      </c>
      <c r="AG1535" s="9"/>
      <c r="AH1535" s="10"/>
    </row>
    <row r="1536" spans="3:34" x14ac:dyDescent="0.35">
      <c r="C1536" s="5"/>
      <c r="D1536" s="5"/>
      <c r="T1536" s="6"/>
      <c r="U1536" s="6"/>
      <c r="V1536" s="6"/>
      <c r="W1536" s="7" t="str">
        <f t="shared" si="46"/>
        <v/>
      </c>
      <c r="X1536" s="8" t="str">
        <f t="shared" si="47"/>
        <v/>
      </c>
      <c r="AG1536" s="9"/>
      <c r="AH1536" s="10"/>
    </row>
    <row r="1537" spans="3:34" x14ac:dyDescent="0.35">
      <c r="C1537" s="5"/>
      <c r="D1537" s="5"/>
      <c r="T1537" s="6"/>
      <c r="U1537" s="6"/>
      <c r="V1537" s="6"/>
      <c r="W1537" s="7" t="str">
        <f t="shared" si="46"/>
        <v/>
      </c>
      <c r="X1537" s="8" t="str">
        <f t="shared" si="47"/>
        <v/>
      </c>
      <c r="AG1537" s="9"/>
      <c r="AH1537" s="10"/>
    </row>
    <row r="1538" spans="3:34" x14ac:dyDescent="0.35">
      <c r="C1538" s="5"/>
      <c r="D1538" s="5"/>
      <c r="T1538" s="6"/>
      <c r="U1538" s="6"/>
      <c r="V1538" s="6"/>
      <c r="W1538" s="7" t="str">
        <f t="shared" ref="W1538:W1601" si="48">IF($U1538&gt;0,$U1538-$V1538,"")</f>
        <v/>
      </c>
      <c r="X1538" s="8" t="str">
        <f t="shared" ref="X1538:X1601" si="49">IF($U1538&gt;0,($U1538-$V1538)/$U1538,"")</f>
        <v/>
      </c>
      <c r="AG1538" s="9"/>
      <c r="AH1538" s="10"/>
    </row>
    <row r="1539" spans="3:34" x14ac:dyDescent="0.35">
      <c r="C1539" s="5"/>
      <c r="D1539" s="5"/>
      <c r="T1539" s="6"/>
      <c r="U1539" s="6"/>
      <c r="V1539" s="6"/>
      <c r="W1539" s="7" t="str">
        <f t="shared" si="48"/>
        <v/>
      </c>
      <c r="X1539" s="8" t="str">
        <f t="shared" si="49"/>
        <v/>
      </c>
      <c r="AG1539" s="9"/>
      <c r="AH1539" s="10"/>
    </row>
    <row r="1540" spans="3:34" x14ac:dyDescent="0.35">
      <c r="C1540" s="5"/>
      <c r="D1540" s="5"/>
      <c r="T1540" s="6"/>
      <c r="U1540" s="6"/>
      <c r="V1540" s="6"/>
      <c r="W1540" s="7" t="str">
        <f t="shared" si="48"/>
        <v/>
      </c>
      <c r="X1540" s="8" t="str">
        <f t="shared" si="49"/>
        <v/>
      </c>
      <c r="AG1540" s="9"/>
      <c r="AH1540" s="10"/>
    </row>
    <row r="1541" spans="3:34" x14ac:dyDescent="0.35">
      <c r="C1541" s="5"/>
      <c r="D1541" s="5"/>
      <c r="T1541" s="6"/>
      <c r="U1541" s="6"/>
      <c r="V1541" s="6"/>
      <c r="W1541" s="7" t="str">
        <f t="shared" si="48"/>
        <v/>
      </c>
      <c r="X1541" s="8" t="str">
        <f t="shared" si="49"/>
        <v/>
      </c>
      <c r="AG1541" s="9"/>
      <c r="AH1541" s="10"/>
    </row>
    <row r="1542" spans="3:34" x14ac:dyDescent="0.35">
      <c r="C1542" s="5"/>
      <c r="D1542" s="5"/>
      <c r="T1542" s="6"/>
      <c r="U1542" s="6"/>
      <c r="V1542" s="6"/>
      <c r="W1542" s="7" t="str">
        <f t="shared" si="48"/>
        <v/>
      </c>
      <c r="X1542" s="8" t="str">
        <f t="shared" si="49"/>
        <v/>
      </c>
      <c r="AG1542" s="9"/>
      <c r="AH1542" s="10"/>
    </row>
    <row r="1543" spans="3:34" x14ac:dyDescent="0.35">
      <c r="C1543" s="5"/>
      <c r="D1543" s="5"/>
      <c r="T1543" s="6"/>
      <c r="U1543" s="6"/>
      <c r="V1543" s="6"/>
      <c r="W1543" s="7" t="str">
        <f t="shared" si="48"/>
        <v/>
      </c>
      <c r="X1543" s="8" t="str">
        <f t="shared" si="49"/>
        <v/>
      </c>
      <c r="AG1543" s="9"/>
      <c r="AH1543" s="10"/>
    </row>
    <row r="1544" spans="3:34" x14ac:dyDescent="0.35">
      <c r="C1544" s="5"/>
      <c r="D1544" s="5"/>
      <c r="T1544" s="6"/>
      <c r="U1544" s="6"/>
      <c r="V1544" s="6"/>
      <c r="W1544" s="7" t="str">
        <f t="shared" si="48"/>
        <v/>
      </c>
      <c r="X1544" s="8" t="str">
        <f t="shared" si="49"/>
        <v/>
      </c>
      <c r="AG1544" s="9"/>
      <c r="AH1544" s="10"/>
    </row>
    <row r="1545" spans="3:34" x14ac:dyDescent="0.35">
      <c r="C1545" s="5"/>
      <c r="D1545" s="5"/>
      <c r="T1545" s="6"/>
      <c r="U1545" s="6"/>
      <c r="V1545" s="6"/>
      <c r="W1545" s="7" t="str">
        <f t="shared" si="48"/>
        <v/>
      </c>
      <c r="X1545" s="8" t="str">
        <f t="shared" si="49"/>
        <v/>
      </c>
      <c r="AG1545" s="9"/>
      <c r="AH1545" s="10"/>
    </row>
    <row r="1546" spans="3:34" x14ac:dyDescent="0.35">
      <c r="C1546" s="5"/>
      <c r="D1546" s="5"/>
      <c r="T1546" s="6"/>
      <c r="U1546" s="6"/>
      <c r="V1546" s="6"/>
      <c r="W1546" s="7" t="str">
        <f t="shared" si="48"/>
        <v/>
      </c>
      <c r="X1546" s="8" t="str">
        <f t="shared" si="49"/>
        <v/>
      </c>
      <c r="AG1546" s="9"/>
      <c r="AH1546" s="10"/>
    </row>
    <row r="1547" spans="3:34" x14ac:dyDescent="0.35">
      <c r="C1547" s="5"/>
      <c r="D1547" s="5"/>
      <c r="T1547" s="6"/>
      <c r="U1547" s="6"/>
      <c r="V1547" s="6"/>
      <c r="W1547" s="7" t="str">
        <f t="shared" si="48"/>
        <v/>
      </c>
      <c r="X1547" s="8" t="str">
        <f t="shared" si="49"/>
        <v/>
      </c>
      <c r="AG1547" s="9"/>
      <c r="AH1547" s="10"/>
    </row>
    <row r="1548" spans="3:34" x14ac:dyDescent="0.35">
      <c r="C1548" s="5"/>
      <c r="D1548" s="5"/>
      <c r="T1548" s="6"/>
      <c r="U1548" s="6"/>
      <c r="V1548" s="6"/>
      <c r="W1548" s="7" t="str">
        <f t="shared" si="48"/>
        <v/>
      </c>
      <c r="X1548" s="8" t="str">
        <f t="shared" si="49"/>
        <v/>
      </c>
      <c r="AG1548" s="9"/>
      <c r="AH1548" s="10"/>
    </row>
    <row r="1549" spans="3:34" x14ac:dyDescent="0.35">
      <c r="C1549" s="5"/>
      <c r="D1549" s="5"/>
      <c r="T1549" s="6"/>
      <c r="U1549" s="6"/>
      <c r="V1549" s="6"/>
      <c r="W1549" s="7" t="str">
        <f t="shared" si="48"/>
        <v/>
      </c>
      <c r="X1549" s="8" t="str">
        <f t="shared" si="49"/>
        <v/>
      </c>
      <c r="AG1549" s="9"/>
      <c r="AH1549" s="10"/>
    </row>
    <row r="1550" spans="3:34" x14ac:dyDescent="0.35">
      <c r="C1550" s="5"/>
      <c r="D1550" s="5"/>
      <c r="T1550" s="6"/>
      <c r="U1550" s="6"/>
      <c r="V1550" s="6"/>
      <c r="W1550" s="7" t="str">
        <f t="shared" si="48"/>
        <v/>
      </c>
      <c r="X1550" s="8" t="str">
        <f t="shared" si="49"/>
        <v/>
      </c>
      <c r="AG1550" s="9"/>
      <c r="AH1550" s="10"/>
    </row>
    <row r="1551" spans="3:34" x14ac:dyDescent="0.35">
      <c r="C1551" s="5"/>
      <c r="D1551" s="5"/>
      <c r="T1551" s="6"/>
      <c r="U1551" s="6"/>
      <c r="V1551" s="6"/>
      <c r="W1551" s="7" t="str">
        <f t="shared" si="48"/>
        <v/>
      </c>
      <c r="X1551" s="8" t="str">
        <f t="shared" si="49"/>
        <v/>
      </c>
      <c r="AG1551" s="9"/>
      <c r="AH1551" s="10"/>
    </row>
    <row r="1552" spans="3:34" x14ac:dyDescent="0.35">
      <c r="C1552" s="5"/>
      <c r="D1552" s="5"/>
      <c r="T1552" s="6"/>
      <c r="U1552" s="6"/>
      <c r="V1552" s="6"/>
      <c r="W1552" s="7" t="str">
        <f t="shared" si="48"/>
        <v/>
      </c>
      <c r="X1552" s="8" t="str">
        <f t="shared" si="49"/>
        <v/>
      </c>
      <c r="AG1552" s="9"/>
      <c r="AH1552" s="10"/>
    </row>
    <row r="1553" spans="3:34" x14ac:dyDescent="0.35">
      <c r="C1553" s="5"/>
      <c r="D1553" s="5"/>
      <c r="T1553" s="6"/>
      <c r="U1553" s="6"/>
      <c r="V1553" s="6"/>
      <c r="W1553" s="7" t="str">
        <f t="shared" si="48"/>
        <v/>
      </c>
      <c r="X1553" s="8" t="str">
        <f t="shared" si="49"/>
        <v/>
      </c>
      <c r="AG1553" s="9"/>
      <c r="AH1553" s="10"/>
    </row>
    <row r="1554" spans="3:34" x14ac:dyDescent="0.35">
      <c r="C1554" s="5"/>
      <c r="D1554" s="5"/>
      <c r="T1554" s="6"/>
      <c r="U1554" s="6"/>
      <c r="V1554" s="6"/>
      <c r="W1554" s="7" t="str">
        <f t="shared" si="48"/>
        <v/>
      </c>
      <c r="X1554" s="8" t="str">
        <f t="shared" si="49"/>
        <v/>
      </c>
      <c r="AG1554" s="9"/>
      <c r="AH1554" s="10"/>
    </row>
    <row r="1555" spans="3:34" x14ac:dyDescent="0.35">
      <c r="C1555" s="5"/>
      <c r="D1555" s="5"/>
      <c r="T1555" s="6"/>
      <c r="U1555" s="6"/>
      <c r="V1555" s="6"/>
      <c r="W1555" s="7" t="str">
        <f t="shared" si="48"/>
        <v/>
      </c>
      <c r="X1555" s="8" t="str">
        <f t="shared" si="49"/>
        <v/>
      </c>
      <c r="AG1555" s="9"/>
      <c r="AH1555" s="10"/>
    </row>
    <row r="1556" spans="3:34" x14ac:dyDescent="0.35">
      <c r="C1556" s="5"/>
      <c r="D1556" s="5"/>
      <c r="T1556" s="6"/>
      <c r="U1556" s="6"/>
      <c r="V1556" s="6"/>
      <c r="W1556" s="7" t="str">
        <f t="shared" si="48"/>
        <v/>
      </c>
      <c r="X1556" s="8" t="str">
        <f t="shared" si="49"/>
        <v/>
      </c>
      <c r="AG1556" s="9"/>
      <c r="AH1556" s="10"/>
    </row>
    <row r="1557" spans="3:34" x14ac:dyDescent="0.35">
      <c r="C1557" s="5"/>
      <c r="D1557" s="5"/>
      <c r="T1557" s="6"/>
      <c r="U1557" s="6"/>
      <c r="V1557" s="6"/>
      <c r="W1557" s="7" t="str">
        <f t="shared" si="48"/>
        <v/>
      </c>
      <c r="X1557" s="8" t="str">
        <f t="shared" si="49"/>
        <v/>
      </c>
      <c r="AG1557" s="9"/>
      <c r="AH1557" s="10"/>
    </row>
    <row r="1558" spans="3:34" x14ac:dyDescent="0.35">
      <c r="C1558" s="5"/>
      <c r="D1558" s="5"/>
      <c r="T1558" s="6"/>
      <c r="U1558" s="6"/>
      <c r="V1558" s="6"/>
      <c r="W1558" s="7" t="str">
        <f t="shared" si="48"/>
        <v/>
      </c>
      <c r="X1558" s="8" t="str">
        <f t="shared" si="49"/>
        <v/>
      </c>
      <c r="AG1558" s="9"/>
      <c r="AH1558" s="10"/>
    </row>
    <row r="1559" spans="3:34" x14ac:dyDescent="0.35">
      <c r="C1559" s="5"/>
      <c r="D1559" s="5"/>
      <c r="T1559" s="6"/>
      <c r="U1559" s="6"/>
      <c r="V1559" s="6"/>
      <c r="W1559" s="7" t="str">
        <f t="shared" si="48"/>
        <v/>
      </c>
      <c r="X1559" s="8" t="str">
        <f t="shared" si="49"/>
        <v/>
      </c>
      <c r="AG1559" s="9"/>
      <c r="AH1559" s="10"/>
    </row>
    <row r="1560" spans="3:34" x14ac:dyDescent="0.35">
      <c r="C1560" s="5"/>
      <c r="D1560" s="5"/>
      <c r="T1560" s="6"/>
      <c r="U1560" s="6"/>
      <c r="V1560" s="6"/>
      <c r="W1560" s="7" t="str">
        <f t="shared" si="48"/>
        <v/>
      </c>
      <c r="X1560" s="8" t="str">
        <f t="shared" si="49"/>
        <v/>
      </c>
      <c r="AG1560" s="9"/>
      <c r="AH1560" s="10"/>
    </row>
    <row r="1561" spans="3:34" x14ac:dyDescent="0.35">
      <c r="C1561" s="5"/>
      <c r="D1561" s="5"/>
      <c r="T1561" s="6"/>
      <c r="U1561" s="6"/>
      <c r="V1561" s="6"/>
      <c r="W1561" s="7" t="str">
        <f t="shared" si="48"/>
        <v/>
      </c>
      <c r="X1561" s="8" t="str">
        <f t="shared" si="49"/>
        <v/>
      </c>
      <c r="AG1561" s="9"/>
      <c r="AH1561" s="10"/>
    </row>
    <row r="1562" spans="3:34" x14ac:dyDescent="0.35">
      <c r="C1562" s="5"/>
      <c r="D1562" s="5"/>
      <c r="T1562" s="6"/>
      <c r="U1562" s="6"/>
      <c r="V1562" s="6"/>
      <c r="W1562" s="7" t="str">
        <f t="shared" si="48"/>
        <v/>
      </c>
      <c r="X1562" s="8" t="str">
        <f t="shared" si="49"/>
        <v/>
      </c>
      <c r="AG1562" s="9"/>
      <c r="AH1562" s="10"/>
    </row>
    <row r="1563" spans="3:34" x14ac:dyDescent="0.35">
      <c r="C1563" s="5"/>
      <c r="D1563" s="5"/>
      <c r="T1563" s="6"/>
      <c r="U1563" s="6"/>
      <c r="V1563" s="6"/>
      <c r="W1563" s="7" t="str">
        <f t="shared" si="48"/>
        <v/>
      </c>
      <c r="X1563" s="8" t="str">
        <f t="shared" si="49"/>
        <v/>
      </c>
      <c r="AG1563" s="9"/>
      <c r="AH1563" s="10"/>
    </row>
    <row r="1564" spans="3:34" x14ac:dyDescent="0.35">
      <c r="C1564" s="5"/>
      <c r="D1564" s="5"/>
      <c r="T1564" s="6"/>
      <c r="U1564" s="6"/>
      <c r="V1564" s="6"/>
      <c r="W1564" s="7" t="str">
        <f t="shared" si="48"/>
        <v/>
      </c>
      <c r="X1564" s="8" t="str">
        <f t="shared" si="49"/>
        <v/>
      </c>
      <c r="AG1564" s="9"/>
      <c r="AH1564" s="10"/>
    </row>
    <row r="1565" spans="3:34" x14ac:dyDescent="0.35">
      <c r="C1565" s="5"/>
      <c r="D1565" s="5"/>
      <c r="T1565" s="6"/>
      <c r="U1565" s="6"/>
      <c r="V1565" s="6"/>
      <c r="W1565" s="7" t="str">
        <f t="shared" si="48"/>
        <v/>
      </c>
      <c r="X1565" s="8" t="str">
        <f t="shared" si="49"/>
        <v/>
      </c>
      <c r="AG1565" s="9"/>
      <c r="AH1565" s="10"/>
    </row>
    <row r="1566" spans="3:34" x14ac:dyDescent="0.35">
      <c r="C1566" s="5"/>
      <c r="D1566" s="5"/>
      <c r="T1566" s="6"/>
      <c r="U1566" s="6"/>
      <c r="V1566" s="6"/>
      <c r="W1566" s="7" t="str">
        <f t="shared" si="48"/>
        <v/>
      </c>
      <c r="X1566" s="8" t="str">
        <f t="shared" si="49"/>
        <v/>
      </c>
      <c r="AG1566" s="9"/>
      <c r="AH1566" s="10"/>
    </row>
    <row r="1567" spans="3:34" x14ac:dyDescent="0.35">
      <c r="C1567" s="5"/>
      <c r="D1567" s="5"/>
      <c r="T1567" s="6"/>
      <c r="U1567" s="6"/>
      <c r="V1567" s="6"/>
      <c r="W1567" s="7" t="str">
        <f t="shared" si="48"/>
        <v/>
      </c>
      <c r="X1567" s="8" t="str">
        <f t="shared" si="49"/>
        <v/>
      </c>
      <c r="AG1567" s="9"/>
      <c r="AH1567" s="10"/>
    </row>
    <row r="1568" spans="3:34" x14ac:dyDescent="0.35">
      <c r="C1568" s="5"/>
      <c r="D1568" s="5"/>
      <c r="T1568" s="6"/>
      <c r="U1568" s="6"/>
      <c r="V1568" s="6"/>
      <c r="W1568" s="7" t="str">
        <f t="shared" si="48"/>
        <v/>
      </c>
      <c r="X1568" s="8" t="str">
        <f t="shared" si="49"/>
        <v/>
      </c>
      <c r="AG1568" s="9"/>
      <c r="AH1568" s="10"/>
    </row>
    <row r="1569" spans="3:34" x14ac:dyDescent="0.35">
      <c r="C1569" s="5"/>
      <c r="D1569" s="5"/>
      <c r="T1569" s="6"/>
      <c r="U1569" s="6"/>
      <c r="V1569" s="6"/>
      <c r="W1569" s="7" t="str">
        <f t="shared" si="48"/>
        <v/>
      </c>
      <c r="X1569" s="8" t="str">
        <f t="shared" si="49"/>
        <v/>
      </c>
      <c r="AG1569" s="9"/>
      <c r="AH1569" s="10"/>
    </row>
    <row r="1570" spans="3:34" x14ac:dyDescent="0.35">
      <c r="C1570" s="5"/>
      <c r="D1570" s="5"/>
      <c r="T1570" s="6"/>
      <c r="U1570" s="6"/>
      <c r="V1570" s="6"/>
      <c r="W1570" s="7" t="str">
        <f t="shared" si="48"/>
        <v/>
      </c>
      <c r="X1570" s="8" t="str">
        <f t="shared" si="49"/>
        <v/>
      </c>
      <c r="AG1570" s="9"/>
      <c r="AH1570" s="10"/>
    </row>
    <row r="1571" spans="3:34" x14ac:dyDescent="0.35">
      <c r="C1571" s="5"/>
      <c r="D1571" s="5"/>
      <c r="T1571" s="6"/>
      <c r="U1571" s="6"/>
      <c r="V1571" s="6"/>
      <c r="W1571" s="7" t="str">
        <f t="shared" si="48"/>
        <v/>
      </c>
      <c r="X1571" s="8" t="str">
        <f t="shared" si="49"/>
        <v/>
      </c>
      <c r="AG1571" s="9"/>
      <c r="AH1571" s="10"/>
    </row>
    <row r="1572" spans="3:34" x14ac:dyDescent="0.35">
      <c r="C1572" s="5"/>
      <c r="D1572" s="5"/>
      <c r="T1572" s="6"/>
      <c r="U1572" s="6"/>
      <c r="V1572" s="6"/>
      <c r="W1572" s="7" t="str">
        <f t="shared" si="48"/>
        <v/>
      </c>
      <c r="X1572" s="8" t="str">
        <f t="shared" si="49"/>
        <v/>
      </c>
      <c r="AG1572" s="9"/>
      <c r="AH1572" s="10"/>
    </row>
    <row r="1573" spans="3:34" x14ac:dyDescent="0.35">
      <c r="C1573" s="5"/>
      <c r="D1573" s="5"/>
      <c r="T1573" s="6"/>
      <c r="U1573" s="6"/>
      <c r="V1573" s="6"/>
      <c r="W1573" s="7" t="str">
        <f t="shared" si="48"/>
        <v/>
      </c>
      <c r="X1573" s="8" t="str">
        <f t="shared" si="49"/>
        <v/>
      </c>
      <c r="AG1573" s="9"/>
      <c r="AH1573" s="10"/>
    </row>
    <row r="1574" spans="3:34" x14ac:dyDescent="0.35">
      <c r="C1574" s="5"/>
      <c r="D1574" s="5"/>
      <c r="T1574" s="6"/>
      <c r="U1574" s="6"/>
      <c r="V1574" s="6"/>
      <c r="W1574" s="7" t="str">
        <f t="shared" si="48"/>
        <v/>
      </c>
      <c r="X1574" s="8" t="str">
        <f t="shared" si="49"/>
        <v/>
      </c>
      <c r="AG1574" s="9"/>
      <c r="AH1574" s="10"/>
    </row>
    <row r="1575" spans="3:34" x14ac:dyDescent="0.35">
      <c r="C1575" s="5"/>
      <c r="D1575" s="5"/>
      <c r="T1575" s="6"/>
      <c r="U1575" s="6"/>
      <c r="V1575" s="6"/>
      <c r="W1575" s="7" t="str">
        <f t="shared" si="48"/>
        <v/>
      </c>
      <c r="X1575" s="8" t="str">
        <f t="shared" si="49"/>
        <v/>
      </c>
      <c r="AG1575" s="9"/>
      <c r="AH1575" s="10"/>
    </row>
    <row r="1576" spans="3:34" x14ac:dyDescent="0.35">
      <c r="C1576" s="5"/>
      <c r="D1576" s="5"/>
      <c r="T1576" s="6"/>
      <c r="U1576" s="6"/>
      <c r="V1576" s="6"/>
      <c r="W1576" s="7" t="str">
        <f t="shared" si="48"/>
        <v/>
      </c>
      <c r="X1576" s="8" t="str">
        <f t="shared" si="49"/>
        <v/>
      </c>
      <c r="AG1576" s="9"/>
      <c r="AH1576" s="10"/>
    </row>
    <row r="1577" spans="3:34" x14ac:dyDescent="0.35">
      <c r="C1577" s="5"/>
      <c r="D1577" s="5"/>
      <c r="T1577" s="6"/>
      <c r="U1577" s="6"/>
      <c r="V1577" s="6"/>
      <c r="W1577" s="7" t="str">
        <f t="shared" si="48"/>
        <v/>
      </c>
      <c r="X1577" s="8" t="str">
        <f t="shared" si="49"/>
        <v/>
      </c>
      <c r="AG1577" s="9"/>
      <c r="AH1577" s="10"/>
    </row>
    <row r="1578" spans="3:34" x14ac:dyDescent="0.35">
      <c r="C1578" s="5"/>
      <c r="D1578" s="5"/>
      <c r="T1578" s="6"/>
      <c r="U1578" s="6"/>
      <c r="V1578" s="6"/>
      <c r="W1578" s="7" t="str">
        <f t="shared" si="48"/>
        <v/>
      </c>
      <c r="X1578" s="8" t="str">
        <f t="shared" si="49"/>
        <v/>
      </c>
      <c r="AG1578" s="9"/>
      <c r="AH1578" s="10"/>
    </row>
    <row r="1579" spans="3:34" x14ac:dyDescent="0.35">
      <c r="C1579" s="5"/>
      <c r="D1579" s="5"/>
      <c r="T1579" s="6"/>
      <c r="U1579" s="6"/>
      <c r="V1579" s="6"/>
      <c r="W1579" s="7" t="str">
        <f t="shared" si="48"/>
        <v/>
      </c>
      <c r="X1579" s="8" t="str">
        <f t="shared" si="49"/>
        <v/>
      </c>
      <c r="AG1579" s="9"/>
      <c r="AH1579" s="10"/>
    </row>
    <row r="1580" spans="3:34" x14ac:dyDescent="0.35">
      <c r="C1580" s="5"/>
      <c r="D1580" s="5"/>
      <c r="T1580" s="6"/>
      <c r="U1580" s="6"/>
      <c r="V1580" s="6"/>
      <c r="W1580" s="7" t="str">
        <f t="shared" si="48"/>
        <v/>
      </c>
      <c r="X1580" s="8" t="str">
        <f t="shared" si="49"/>
        <v/>
      </c>
      <c r="AG1580" s="9"/>
      <c r="AH1580" s="10"/>
    </row>
    <row r="1581" spans="3:34" x14ac:dyDescent="0.35">
      <c r="C1581" s="5"/>
      <c r="D1581" s="5"/>
      <c r="T1581" s="6"/>
      <c r="U1581" s="6"/>
      <c r="V1581" s="6"/>
      <c r="W1581" s="7" t="str">
        <f t="shared" si="48"/>
        <v/>
      </c>
      <c r="X1581" s="8" t="str">
        <f t="shared" si="49"/>
        <v/>
      </c>
      <c r="AG1581" s="9"/>
      <c r="AH1581" s="10"/>
    </row>
    <row r="1582" spans="3:34" x14ac:dyDescent="0.35">
      <c r="C1582" s="5"/>
      <c r="D1582" s="5"/>
      <c r="T1582" s="6"/>
      <c r="U1582" s="6"/>
      <c r="V1582" s="6"/>
      <c r="W1582" s="7" t="str">
        <f t="shared" si="48"/>
        <v/>
      </c>
      <c r="X1582" s="8" t="str">
        <f t="shared" si="49"/>
        <v/>
      </c>
      <c r="AG1582" s="9"/>
      <c r="AH1582" s="10"/>
    </row>
    <row r="1583" spans="3:34" x14ac:dyDescent="0.35">
      <c r="C1583" s="5"/>
      <c r="D1583" s="5"/>
      <c r="T1583" s="6"/>
      <c r="U1583" s="6"/>
      <c r="V1583" s="6"/>
      <c r="W1583" s="7" t="str">
        <f t="shared" si="48"/>
        <v/>
      </c>
      <c r="X1583" s="8" t="str">
        <f t="shared" si="49"/>
        <v/>
      </c>
      <c r="AG1583" s="9"/>
      <c r="AH1583" s="10"/>
    </row>
    <row r="1584" spans="3:34" x14ac:dyDescent="0.35">
      <c r="C1584" s="5"/>
      <c r="D1584" s="5"/>
      <c r="T1584" s="6"/>
      <c r="U1584" s="6"/>
      <c r="V1584" s="6"/>
      <c r="W1584" s="7" t="str">
        <f t="shared" si="48"/>
        <v/>
      </c>
      <c r="X1584" s="8" t="str">
        <f t="shared" si="49"/>
        <v/>
      </c>
      <c r="AG1584" s="9"/>
      <c r="AH1584" s="10"/>
    </row>
    <row r="1585" spans="3:34" x14ac:dyDescent="0.35">
      <c r="C1585" s="5"/>
      <c r="D1585" s="5"/>
      <c r="T1585" s="6"/>
      <c r="U1585" s="6"/>
      <c r="V1585" s="6"/>
      <c r="W1585" s="7" t="str">
        <f t="shared" si="48"/>
        <v/>
      </c>
      <c r="X1585" s="8" t="str">
        <f t="shared" si="49"/>
        <v/>
      </c>
      <c r="AG1585" s="9"/>
      <c r="AH1585" s="10"/>
    </row>
    <row r="1586" spans="3:34" x14ac:dyDescent="0.35">
      <c r="C1586" s="5"/>
      <c r="D1586" s="5"/>
      <c r="T1586" s="6"/>
      <c r="U1586" s="6"/>
      <c r="V1586" s="6"/>
      <c r="W1586" s="7" t="str">
        <f t="shared" si="48"/>
        <v/>
      </c>
      <c r="X1586" s="8" t="str">
        <f t="shared" si="49"/>
        <v/>
      </c>
      <c r="AG1586" s="9"/>
      <c r="AH1586" s="10"/>
    </row>
    <row r="1587" spans="3:34" x14ac:dyDescent="0.35">
      <c r="C1587" s="5"/>
      <c r="D1587" s="5"/>
      <c r="T1587" s="6"/>
      <c r="U1587" s="6"/>
      <c r="V1587" s="6"/>
      <c r="W1587" s="7" t="str">
        <f t="shared" si="48"/>
        <v/>
      </c>
      <c r="X1587" s="8" t="str">
        <f t="shared" si="49"/>
        <v/>
      </c>
      <c r="AG1587" s="9"/>
      <c r="AH1587" s="10"/>
    </row>
    <row r="1588" spans="3:34" x14ac:dyDescent="0.35">
      <c r="C1588" s="5"/>
      <c r="D1588" s="5"/>
      <c r="T1588" s="6"/>
      <c r="U1588" s="6"/>
      <c r="V1588" s="6"/>
      <c r="W1588" s="7" t="str">
        <f t="shared" si="48"/>
        <v/>
      </c>
      <c r="X1588" s="8" t="str">
        <f t="shared" si="49"/>
        <v/>
      </c>
      <c r="AG1588" s="9"/>
      <c r="AH1588" s="10"/>
    </row>
    <row r="1589" spans="3:34" x14ac:dyDescent="0.35">
      <c r="C1589" s="5"/>
      <c r="D1589" s="5"/>
      <c r="T1589" s="6"/>
      <c r="U1589" s="6"/>
      <c r="V1589" s="6"/>
      <c r="W1589" s="7" t="str">
        <f t="shared" si="48"/>
        <v/>
      </c>
      <c r="X1589" s="8" t="str">
        <f t="shared" si="49"/>
        <v/>
      </c>
      <c r="AG1589" s="9"/>
      <c r="AH1589" s="10"/>
    </row>
    <row r="1590" spans="3:34" x14ac:dyDescent="0.35">
      <c r="C1590" s="5"/>
      <c r="D1590" s="5"/>
      <c r="T1590" s="6"/>
      <c r="U1590" s="6"/>
      <c r="V1590" s="6"/>
      <c r="W1590" s="7" t="str">
        <f t="shared" si="48"/>
        <v/>
      </c>
      <c r="X1590" s="8" t="str">
        <f t="shared" si="49"/>
        <v/>
      </c>
      <c r="AG1590" s="9"/>
      <c r="AH1590" s="10"/>
    </row>
    <row r="1591" spans="3:34" x14ac:dyDescent="0.35">
      <c r="C1591" s="5"/>
      <c r="D1591" s="5"/>
      <c r="T1591" s="6"/>
      <c r="U1591" s="6"/>
      <c r="V1591" s="6"/>
      <c r="W1591" s="7" t="str">
        <f t="shared" si="48"/>
        <v/>
      </c>
      <c r="X1591" s="8" t="str">
        <f t="shared" si="49"/>
        <v/>
      </c>
      <c r="AG1591" s="9"/>
      <c r="AH1591" s="10"/>
    </row>
    <row r="1592" spans="3:34" x14ac:dyDescent="0.35">
      <c r="C1592" s="5"/>
      <c r="D1592" s="5"/>
      <c r="T1592" s="6"/>
      <c r="U1592" s="6"/>
      <c r="V1592" s="6"/>
      <c r="W1592" s="7" t="str">
        <f t="shared" si="48"/>
        <v/>
      </c>
      <c r="X1592" s="8" t="str">
        <f t="shared" si="49"/>
        <v/>
      </c>
      <c r="AG1592" s="9"/>
      <c r="AH1592" s="10"/>
    </row>
    <row r="1593" spans="3:34" x14ac:dyDescent="0.35">
      <c r="C1593" s="5"/>
      <c r="D1593" s="5"/>
      <c r="T1593" s="6"/>
      <c r="U1593" s="6"/>
      <c r="V1593" s="6"/>
      <c r="W1593" s="7" t="str">
        <f t="shared" si="48"/>
        <v/>
      </c>
      <c r="X1593" s="8" t="str">
        <f t="shared" si="49"/>
        <v/>
      </c>
      <c r="AG1593" s="9"/>
      <c r="AH1593" s="10"/>
    </row>
    <row r="1594" spans="3:34" x14ac:dyDescent="0.35">
      <c r="C1594" s="5"/>
      <c r="D1594" s="5"/>
      <c r="T1594" s="6"/>
      <c r="U1594" s="6"/>
      <c r="V1594" s="6"/>
      <c r="W1594" s="7" t="str">
        <f t="shared" si="48"/>
        <v/>
      </c>
      <c r="X1594" s="8" t="str">
        <f t="shared" si="49"/>
        <v/>
      </c>
      <c r="AG1594" s="9"/>
      <c r="AH1594" s="10"/>
    </row>
    <row r="1595" spans="3:34" x14ac:dyDescent="0.35">
      <c r="C1595" s="5"/>
      <c r="D1595" s="5"/>
      <c r="T1595" s="6"/>
      <c r="U1595" s="6"/>
      <c r="V1595" s="6"/>
      <c r="W1595" s="7" t="str">
        <f t="shared" si="48"/>
        <v/>
      </c>
      <c r="X1595" s="8" t="str">
        <f t="shared" si="49"/>
        <v/>
      </c>
      <c r="AG1595" s="9"/>
      <c r="AH1595" s="10"/>
    </row>
    <row r="1596" spans="3:34" x14ac:dyDescent="0.35">
      <c r="C1596" s="5"/>
      <c r="D1596" s="5"/>
      <c r="T1596" s="6"/>
      <c r="U1596" s="6"/>
      <c r="V1596" s="6"/>
      <c r="W1596" s="7" t="str">
        <f t="shared" si="48"/>
        <v/>
      </c>
      <c r="X1596" s="8" t="str">
        <f t="shared" si="49"/>
        <v/>
      </c>
      <c r="AG1596" s="9"/>
      <c r="AH1596" s="10"/>
    </row>
    <row r="1597" spans="3:34" x14ac:dyDescent="0.35">
      <c r="C1597" s="5"/>
      <c r="D1597" s="5"/>
      <c r="T1597" s="6"/>
      <c r="U1597" s="6"/>
      <c r="V1597" s="6"/>
      <c r="W1597" s="7" t="str">
        <f t="shared" si="48"/>
        <v/>
      </c>
      <c r="X1597" s="8" t="str">
        <f t="shared" si="49"/>
        <v/>
      </c>
      <c r="AG1597" s="9"/>
      <c r="AH1597" s="10"/>
    </row>
    <row r="1598" spans="3:34" x14ac:dyDescent="0.35">
      <c r="C1598" s="5"/>
      <c r="D1598" s="5"/>
      <c r="T1598" s="6"/>
      <c r="U1598" s="6"/>
      <c r="V1598" s="6"/>
      <c r="W1598" s="7" t="str">
        <f t="shared" si="48"/>
        <v/>
      </c>
      <c r="X1598" s="8" t="str">
        <f t="shared" si="49"/>
        <v/>
      </c>
      <c r="AG1598" s="9"/>
      <c r="AH1598" s="10"/>
    </row>
    <row r="1599" spans="3:34" x14ac:dyDescent="0.35">
      <c r="C1599" s="5"/>
      <c r="D1599" s="5"/>
      <c r="T1599" s="6"/>
      <c r="U1599" s="6"/>
      <c r="V1599" s="6"/>
      <c r="W1599" s="7" t="str">
        <f t="shared" si="48"/>
        <v/>
      </c>
      <c r="X1599" s="8" t="str">
        <f t="shared" si="49"/>
        <v/>
      </c>
      <c r="AG1599" s="9"/>
      <c r="AH1599" s="10"/>
    </row>
    <row r="1600" spans="3:34" x14ac:dyDescent="0.35">
      <c r="C1600" s="5"/>
      <c r="D1600" s="5"/>
      <c r="T1600" s="6"/>
      <c r="U1600" s="6"/>
      <c r="V1600" s="6"/>
      <c r="W1600" s="7" t="str">
        <f t="shared" si="48"/>
        <v/>
      </c>
      <c r="X1600" s="8" t="str">
        <f t="shared" si="49"/>
        <v/>
      </c>
      <c r="AG1600" s="9"/>
      <c r="AH1600" s="10"/>
    </row>
    <row r="1601" spans="3:34" x14ac:dyDescent="0.35">
      <c r="C1601" s="5"/>
      <c r="D1601" s="5"/>
      <c r="T1601" s="6"/>
      <c r="U1601" s="6"/>
      <c r="V1601" s="6"/>
      <c r="W1601" s="7" t="str">
        <f t="shared" si="48"/>
        <v/>
      </c>
      <c r="X1601" s="8" t="str">
        <f t="shared" si="49"/>
        <v/>
      </c>
      <c r="AG1601" s="9"/>
      <c r="AH1601" s="10"/>
    </row>
    <row r="1602" spans="3:34" x14ac:dyDescent="0.35">
      <c r="C1602" s="5"/>
      <c r="D1602" s="5"/>
      <c r="T1602" s="6"/>
      <c r="U1602" s="6"/>
      <c r="V1602" s="6"/>
      <c r="W1602" s="7" t="str">
        <f t="shared" ref="W1602:W1665" si="50">IF($U1602&gt;0,$U1602-$V1602,"")</f>
        <v/>
      </c>
      <c r="X1602" s="8" t="str">
        <f t="shared" ref="X1602:X1665" si="51">IF($U1602&gt;0,($U1602-$V1602)/$U1602,"")</f>
        <v/>
      </c>
      <c r="AG1602" s="9"/>
      <c r="AH1602" s="10"/>
    </row>
    <row r="1603" spans="3:34" x14ac:dyDescent="0.35">
      <c r="C1603" s="5"/>
      <c r="D1603" s="5"/>
      <c r="T1603" s="6"/>
      <c r="U1603" s="6"/>
      <c r="V1603" s="6"/>
      <c r="W1603" s="7" t="str">
        <f t="shared" si="50"/>
        <v/>
      </c>
      <c r="X1603" s="8" t="str">
        <f t="shared" si="51"/>
        <v/>
      </c>
      <c r="AG1603" s="9"/>
      <c r="AH1603" s="10"/>
    </row>
    <row r="1604" spans="3:34" x14ac:dyDescent="0.35">
      <c r="C1604" s="5"/>
      <c r="D1604" s="5"/>
      <c r="T1604" s="6"/>
      <c r="U1604" s="6"/>
      <c r="V1604" s="6"/>
      <c r="W1604" s="7" t="str">
        <f t="shared" si="50"/>
        <v/>
      </c>
      <c r="X1604" s="8" t="str">
        <f t="shared" si="51"/>
        <v/>
      </c>
      <c r="AG1604" s="9"/>
      <c r="AH1604" s="10"/>
    </row>
    <row r="1605" spans="3:34" x14ac:dyDescent="0.35">
      <c r="C1605" s="5"/>
      <c r="D1605" s="5"/>
      <c r="T1605" s="6"/>
      <c r="U1605" s="6"/>
      <c r="V1605" s="6"/>
      <c r="W1605" s="7" t="str">
        <f t="shared" si="50"/>
        <v/>
      </c>
      <c r="X1605" s="8" t="str">
        <f t="shared" si="51"/>
        <v/>
      </c>
      <c r="AG1605" s="9"/>
      <c r="AH1605" s="10"/>
    </row>
    <row r="1606" spans="3:34" x14ac:dyDescent="0.35">
      <c r="C1606" s="5"/>
      <c r="D1606" s="5"/>
      <c r="T1606" s="6"/>
      <c r="U1606" s="6"/>
      <c r="V1606" s="6"/>
      <c r="W1606" s="7" t="str">
        <f t="shared" si="50"/>
        <v/>
      </c>
      <c r="X1606" s="8" t="str">
        <f t="shared" si="51"/>
        <v/>
      </c>
      <c r="AG1606" s="9"/>
      <c r="AH1606" s="10"/>
    </row>
    <row r="1607" spans="3:34" x14ac:dyDescent="0.35">
      <c r="C1607" s="5"/>
      <c r="D1607" s="5"/>
      <c r="T1607" s="6"/>
      <c r="U1607" s="6"/>
      <c r="V1607" s="6"/>
      <c r="W1607" s="7" t="str">
        <f t="shared" si="50"/>
        <v/>
      </c>
      <c r="X1607" s="8" t="str">
        <f t="shared" si="51"/>
        <v/>
      </c>
      <c r="AG1607" s="9"/>
      <c r="AH1607" s="10"/>
    </row>
    <row r="1608" spans="3:34" x14ac:dyDescent="0.35">
      <c r="C1608" s="5"/>
      <c r="D1608" s="5"/>
      <c r="T1608" s="6"/>
      <c r="U1608" s="6"/>
      <c r="V1608" s="6"/>
      <c r="W1608" s="7" t="str">
        <f t="shared" si="50"/>
        <v/>
      </c>
      <c r="X1608" s="8" t="str">
        <f t="shared" si="51"/>
        <v/>
      </c>
      <c r="AG1608" s="9"/>
      <c r="AH1608" s="10"/>
    </row>
    <row r="1609" spans="3:34" x14ac:dyDescent="0.35">
      <c r="C1609" s="5"/>
      <c r="D1609" s="5"/>
      <c r="T1609" s="6"/>
      <c r="U1609" s="6"/>
      <c r="V1609" s="6"/>
      <c r="W1609" s="7" t="str">
        <f t="shared" si="50"/>
        <v/>
      </c>
      <c r="X1609" s="8" t="str">
        <f t="shared" si="51"/>
        <v/>
      </c>
      <c r="AG1609" s="9"/>
      <c r="AH1609" s="10"/>
    </row>
    <row r="1610" spans="3:34" x14ac:dyDescent="0.35">
      <c r="C1610" s="5"/>
      <c r="D1610" s="5"/>
      <c r="T1610" s="6"/>
      <c r="U1610" s="6"/>
      <c r="V1610" s="6"/>
      <c r="W1610" s="7" t="str">
        <f t="shared" si="50"/>
        <v/>
      </c>
      <c r="X1610" s="8" t="str">
        <f t="shared" si="51"/>
        <v/>
      </c>
      <c r="AG1610" s="9"/>
      <c r="AH1610" s="10"/>
    </row>
    <row r="1611" spans="3:34" x14ac:dyDescent="0.35">
      <c r="C1611" s="5"/>
      <c r="D1611" s="5"/>
      <c r="T1611" s="6"/>
      <c r="U1611" s="6"/>
      <c r="V1611" s="6"/>
      <c r="W1611" s="7" t="str">
        <f t="shared" si="50"/>
        <v/>
      </c>
      <c r="X1611" s="8" t="str">
        <f t="shared" si="51"/>
        <v/>
      </c>
      <c r="AG1611" s="9"/>
      <c r="AH1611" s="10"/>
    </row>
    <row r="1612" spans="3:34" x14ac:dyDescent="0.35">
      <c r="C1612" s="5"/>
      <c r="D1612" s="5"/>
      <c r="T1612" s="6"/>
      <c r="U1612" s="6"/>
      <c r="V1612" s="6"/>
      <c r="W1612" s="7" t="str">
        <f t="shared" si="50"/>
        <v/>
      </c>
      <c r="X1612" s="8" t="str">
        <f t="shared" si="51"/>
        <v/>
      </c>
      <c r="AG1612" s="9"/>
      <c r="AH1612" s="10"/>
    </row>
    <row r="1613" spans="3:34" x14ac:dyDescent="0.35">
      <c r="C1613" s="5"/>
      <c r="D1613" s="5"/>
      <c r="T1613" s="6"/>
      <c r="U1613" s="6"/>
      <c r="V1613" s="6"/>
      <c r="W1613" s="7" t="str">
        <f t="shared" si="50"/>
        <v/>
      </c>
      <c r="X1613" s="8" t="str">
        <f t="shared" si="51"/>
        <v/>
      </c>
      <c r="AG1613" s="9"/>
      <c r="AH1613" s="10"/>
    </row>
    <row r="1614" spans="3:34" x14ac:dyDescent="0.35">
      <c r="C1614" s="5"/>
      <c r="D1614" s="5"/>
      <c r="T1614" s="6"/>
      <c r="U1614" s="6"/>
      <c r="V1614" s="6"/>
      <c r="W1614" s="7" t="str">
        <f t="shared" si="50"/>
        <v/>
      </c>
      <c r="X1614" s="8" t="str">
        <f t="shared" si="51"/>
        <v/>
      </c>
      <c r="AG1614" s="9"/>
      <c r="AH1614" s="10"/>
    </row>
    <row r="1615" spans="3:34" x14ac:dyDescent="0.35">
      <c r="C1615" s="5"/>
      <c r="D1615" s="5"/>
      <c r="T1615" s="6"/>
      <c r="U1615" s="6"/>
      <c r="V1615" s="6"/>
      <c r="W1615" s="7" t="str">
        <f t="shared" si="50"/>
        <v/>
      </c>
      <c r="X1615" s="8" t="str">
        <f t="shared" si="51"/>
        <v/>
      </c>
      <c r="AG1615" s="9"/>
      <c r="AH1615" s="10"/>
    </row>
    <row r="1616" spans="3:34" x14ac:dyDescent="0.35">
      <c r="C1616" s="5"/>
      <c r="D1616" s="5"/>
      <c r="T1616" s="6"/>
      <c r="U1616" s="6"/>
      <c r="V1616" s="6"/>
      <c r="W1616" s="7" t="str">
        <f t="shared" si="50"/>
        <v/>
      </c>
      <c r="X1616" s="8" t="str">
        <f t="shared" si="51"/>
        <v/>
      </c>
      <c r="AG1616" s="9"/>
      <c r="AH1616" s="10"/>
    </row>
    <row r="1617" spans="3:34" x14ac:dyDescent="0.35">
      <c r="C1617" s="5"/>
      <c r="D1617" s="5"/>
      <c r="T1617" s="6"/>
      <c r="U1617" s="6"/>
      <c r="V1617" s="6"/>
      <c r="W1617" s="7" t="str">
        <f t="shared" si="50"/>
        <v/>
      </c>
      <c r="X1617" s="8" t="str">
        <f t="shared" si="51"/>
        <v/>
      </c>
      <c r="AG1617" s="9"/>
      <c r="AH1617" s="10"/>
    </row>
    <row r="1618" spans="3:34" x14ac:dyDescent="0.35">
      <c r="C1618" s="5"/>
      <c r="D1618" s="5"/>
      <c r="T1618" s="6"/>
      <c r="U1618" s="6"/>
      <c r="V1618" s="6"/>
      <c r="W1618" s="7" t="str">
        <f t="shared" si="50"/>
        <v/>
      </c>
      <c r="X1618" s="8" t="str">
        <f t="shared" si="51"/>
        <v/>
      </c>
      <c r="AG1618" s="9"/>
      <c r="AH1618" s="10"/>
    </row>
    <row r="1619" spans="3:34" x14ac:dyDescent="0.35">
      <c r="C1619" s="5"/>
      <c r="D1619" s="5"/>
      <c r="T1619" s="6"/>
      <c r="U1619" s="6"/>
      <c r="V1619" s="6"/>
      <c r="W1619" s="7" t="str">
        <f t="shared" si="50"/>
        <v/>
      </c>
      <c r="X1619" s="8" t="str">
        <f t="shared" si="51"/>
        <v/>
      </c>
      <c r="AG1619" s="9"/>
      <c r="AH1619" s="10"/>
    </row>
    <row r="1620" spans="3:34" x14ac:dyDescent="0.35">
      <c r="C1620" s="5"/>
      <c r="D1620" s="5"/>
      <c r="T1620" s="6"/>
      <c r="U1620" s="6"/>
      <c r="V1620" s="6"/>
      <c r="W1620" s="7" t="str">
        <f t="shared" si="50"/>
        <v/>
      </c>
      <c r="X1620" s="8" t="str">
        <f t="shared" si="51"/>
        <v/>
      </c>
      <c r="AG1620" s="9"/>
      <c r="AH1620" s="10"/>
    </row>
    <row r="1621" spans="3:34" x14ac:dyDescent="0.35">
      <c r="C1621" s="5"/>
      <c r="D1621" s="5"/>
      <c r="T1621" s="6"/>
      <c r="U1621" s="6"/>
      <c r="V1621" s="6"/>
      <c r="W1621" s="7" t="str">
        <f t="shared" si="50"/>
        <v/>
      </c>
      <c r="X1621" s="8" t="str">
        <f t="shared" si="51"/>
        <v/>
      </c>
      <c r="AG1621" s="9"/>
      <c r="AH1621" s="10"/>
    </row>
    <row r="1622" spans="3:34" x14ac:dyDescent="0.35">
      <c r="C1622" s="5"/>
      <c r="D1622" s="5"/>
      <c r="T1622" s="6"/>
      <c r="U1622" s="6"/>
      <c r="V1622" s="6"/>
      <c r="W1622" s="7" t="str">
        <f t="shared" si="50"/>
        <v/>
      </c>
      <c r="X1622" s="8" t="str">
        <f t="shared" si="51"/>
        <v/>
      </c>
      <c r="AG1622" s="9"/>
      <c r="AH1622" s="10"/>
    </row>
    <row r="1623" spans="3:34" x14ac:dyDescent="0.35">
      <c r="C1623" s="5"/>
      <c r="D1623" s="5"/>
      <c r="T1623" s="6"/>
      <c r="U1623" s="6"/>
      <c r="V1623" s="6"/>
      <c r="W1623" s="7" t="str">
        <f t="shared" si="50"/>
        <v/>
      </c>
      <c r="X1623" s="8" t="str">
        <f t="shared" si="51"/>
        <v/>
      </c>
      <c r="AG1623" s="9"/>
      <c r="AH1623" s="10"/>
    </row>
    <row r="1624" spans="3:34" x14ac:dyDescent="0.35">
      <c r="C1624" s="5"/>
      <c r="D1624" s="5"/>
      <c r="T1624" s="6"/>
      <c r="U1624" s="6"/>
      <c r="V1624" s="6"/>
      <c r="W1624" s="7" t="str">
        <f t="shared" si="50"/>
        <v/>
      </c>
      <c r="X1624" s="8" t="str">
        <f t="shared" si="51"/>
        <v/>
      </c>
      <c r="AG1624" s="9"/>
      <c r="AH1624" s="10"/>
    </row>
    <row r="1625" spans="3:34" x14ac:dyDescent="0.35">
      <c r="C1625" s="5"/>
      <c r="D1625" s="5"/>
      <c r="T1625" s="6"/>
      <c r="U1625" s="6"/>
      <c r="V1625" s="6"/>
      <c r="W1625" s="7" t="str">
        <f t="shared" si="50"/>
        <v/>
      </c>
      <c r="X1625" s="8" t="str">
        <f t="shared" si="51"/>
        <v/>
      </c>
      <c r="AG1625" s="9"/>
      <c r="AH1625" s="10"/>
    </row>
    <row r="1626" spans="3:34" x14ac:dyDescent="0.35">
      <c r="C1626" s="5"/>
      <c r="D1626" s="5"/>
      <c r="T1626" s="6"/>
      <c r="U1626" s="6"/>
      <c r="V1626" s="6"/>
      <c r="W1626" s="7" t="str">
        <f t="shared" si="50"/>
        <v/>
      </c>
      <c r="X1626" s="8" t="str">
        <f t="shared" si="51"/>
        <v/>
      </c>
      <c r="AG1626" s="9"/>
      <c r="AH1626" s="10"/>
    </row>
    <row r="1627" spans="3:34" x14ac:dyDescent="0.35">
      <c r="C1627" s="5"/>
      <c r="D1627" s="5"/>
      <c r="T1627" s="6"/>
      <c r="U1627" s="6"/>
      <c r="V1627" s="6"/>
      <c r="W1627" s="7" t="str">
        <f t="shared" si="50"/>
        <v/>
      </c>
      <c r="X1627" s="8" t="str">
        <f t="shared" si="51"/>
        <v/>
      </c>
      <c r="AG1627" s="9"/>
      <c r="AH1627" s="10"/>
    </row>
    <row r="1628" spans="3:34" x14ac:dyDescent="0.35">
      <c r="C1628" s="5"/>
      <c r="D1628" s="5"/>
      <c r="T1628" s="6"/>
      <c r="U1628" s="6"/>
      <c r="V1628" s="6"/>
      <c r="W1628" s="7" t="str">
        <f t="shared" si="50"/>
        <v/>
      </c>
      <c r="X1628" s="8" t="str">
        <f t="shared" si="51"/>
        <v/>
      </c>
      <c r="AG1628" s="9"/>
      <c r="AH1628" s="10"/>
    </row>
    <row r="1629" spans="3:34" x14ac:dyDescent="0.35">
      <c r="C1629" s="5"/>
      <c r="D1629" s="5"/>
      <c r="T1629" s="6"/>
      <c r="U1629" s="6"/>
      <c r="V1629" s="6"/>
      <c r="W1629" s="7" t="str">
        <f t="shared" si="50"/>
        <v/>
      </c>
      <c r="X1629" s="8" t="str">
        <f t="shared" si="51"/>
        <v/>
      </c>
      <c r="AG1629" s="9"/>
      <c r="AH1629" s="10"/>
    </row>
    <row r="1630" spans="3:34" x14ac:dyDescent="0.35">
      <c r="C1630" s="5"/>
      <c r="D1630" s="5"/>
      <c r="T1630" s="6"/>
      <c r="U1630" s="6"/>
      <c r="V1630" s="6"/>
      <c r="W1630" s="7" t="str">
        <f t="shared" si="50"/>
        <v/>
      </c>
      <c r="X1630" s="8" t="str">
        <f t="shared" si="51"/>
        <v/>
      </c>
      <c r="AG1630" s="9"/>
      <c r="AH1630" s="10"/>
    </row>
    <row r="1631" spans="3:34" x14ac:dyDescent="0.35">
      <c r="C1631" s="5"/>
      <c r="D1631" s="5"/>
      <c r="T1631" s="6"/>
      <c r="U1631" s="6"/>
      <c r="V1631" s="6"/>
      <c r="W1631" s="7" t="str">
        <f t="shared" si="50"/>
        <v/>
      </c>
      <c r="X1631" s="8" t="str">
        <f t="shared" si="51"/>
        <v/>
      </c>
      <c r="AG1631" s="9"/>
      <c r="AH1631" s="10"/>
    </row>
    <row r="1632" spans="3:34" x14ac:dyDescent="0.35">
      <c r="C1632" s="5"/>
      <c r="D1632" s="5"/>
      <c r="T1632" s="6"/>
      <c r="U1632" s="6"/>
      <c r="V1632" s="6"/>
      <c r="W1632" s="7" t="str">
        <f t="shared" si="50"/>
        <v/>
      </c>
      <c r="X1632" s="8" t="str">
        <f t="shared" si="51"/>
        <v/>
      </c>
      <c r="AG1632" s="9"/>
      <c r="AH1632" s="10"/>
    </row>
    <row r="1633" spans="3:34" x14ac:dyDescent="0.35">
      <c r="C1633" s="5"/>
      <c r="D1633" s="5"/>
      <c r="T1633" s="6"/>
      <c r="U1633" s="6"/>
      <c r="V1633" s="6"/>
      <c r="W1633" s="7" t="str">
        <f t="shared" si="50"/>
        <v/>
      </c>
      <c r="X1633" s="8" t="str">
        <f t="shared" si="51"/>
        <v/>
      </c>
      <c r="AG1633" s="9"/>
      <c r="AH1633" s="10"/>
    </row>
    <row r="1634" spans="3:34" x14ac:dyDescent="0.35">
      <c r="C1634" s="5"/>
      <c r="D1634" s="5"/>
      <c r="T1634" s="6"/>
      <c r="U1634" s="6"/>
      <c r="V1634" s="6"/>
      <c r="W1634" s="7" t="str">
        <f t="shared" si="50"/>
        <v/>
      </c>
      <c r="X1634" s="8" t="str">
        <f t="shared" si="51"/>
        <v/>
      </c>
      <c r="AG1634" s="9"/>
      <c r="AH1634" s="10"/>
    </row>
    <row r="1635" spans="3:34" x14ac:dyDescent="0.35">
      <c r="C1635" s="5"/>
      <c r="D1635" s="5"/>
      <c r="T1635" s="6"/>
      <c r="U1635" s="6"/>
      <c r="V1635" s="6"/>
      <c r="W1635" s="7" t="str">
        <f t="shared" si="50"/>
        <v/>
      </c>
      <c r="X1635" s="8" t="str">
        <f t="shared" si="51"/>
        <v/>
      </c>
      <c r="AG1635" s="9"/>
      <c r="AH1635" s="10"/>
    </row>
    <row r="1636" spans="3:34" x14ac:dyDescent="0.35">
      <c r="C1636" s="5"/>
      <c r="D1636" s="5"/>
      <c r="T1636" s="6"/>
      <c r="U1636" s="6"/>
      <c r="V1636" s="6"/>
      <c r="W1636" s="7" t="str">
        <f t="shared" si="50"/>
        <v/>
      </c>
      <c r="X1636" s="8" t="str">
        <f t="shared" si="51"/>
        <v/>
      </c>
      <c r="AG1636" s="9"/>
      <c r="AH1636" s="10"/>
    </row>
    <row r="1637" spans="3:34" x14ac:dyDescent="0.35">
      <c r="C1637" s="5"/>
      <c r="D1637" s="5"/>
      <c r="T1637" s="6"/>
      <c r="U1637" s="6"/>
      <c r="V1637" s="6"/>
      <c r="W1637" s="7" t="str">
        <f t="shared" si="50"/>
        <v/>
      </c>
      <c r="X1637" s="8" t="str">
        <f t="shared" si="51"/>
        <v/>
      </c>
      <c r="AG1637" s="9"/>
      <c r="AH1637" s="10"/>
    </row>
    <row r="1638" spans="3:34" x14ac:dyDescent="0.35">
      <c r="C1638" s="5"/>
      <c r="D1638" s="5"/>
      <c r="T1638" s="6"/>
      <c r="U1638" s="6"/>
      <c r="V1638" s="6"/>
      <c r="W1638" s="7" t="str">
        <f t="shared" si="50"/>
        <v/>
      </c>
      <c r="X1638" s="8" t="str">
        <f t="shared" si="51"/>
        <v/>
      </c>
      <c r="AG1638" s="9"/>
      <c r="AH1638" s="10"/>
    </row>
    <row r="1639" spans="3:34" x14ac:dyDescent="0.35">
      <c r="C1639" s="5"/>
      <c r="D1639" s="5"/>
      <c r="T1639" s="6"/>
      <c r="U1639" s="6"/>
      <c r="V1639" s="6"/>
      <c r="W1639" s="7" t="str">
        <f t="shared" si="50"/>
        <v/>
      </c>
      <c r="X1639" s="8" t="str">
        <f t="shared" si="51"/>
        <v/>
      </c>
      <c r="AG1639" s="9"/>
      <c r="AH1639" s="10"/>
    </row>
    <row r="1640" spans="3:34" x14ac:dyDescent="0.35">
      <c r="C1640" s="5"/>
      <c r="D1640" s="5"/>
      <c r="T1640" s="6"/>
      <c r="U1640" s="6"/>
      <c r="V1640" s="6"/>
      <c r="W1640" s="7" t="str">
        <f t="shared" si="50"/>
        <v/>
      </c>
      <c r="X1640" s="8" t="str">
        <f t="shared" si="51"/>
        <v/>
      </c>
      <c r="AG1640" s="9"/>
      <c r="AH1640" s="10"/>
    </row>
    <row r="1641" spans="3:34" x14ac:dyDescent="0.35">
      <c r="C1641" s="5"/>
      <c r="D1641" s="5"/>
      <c r="T1641" s="6"/>
      <c r="U1641" s="6"/>
      <c r="V1641" s="6"/>
      <c r="W1641" s="7" t="str">
        <f t="shared" si="50"/>
        <v/>
      </c>
      <c r="X1641" s="8" t="str">
        <f t="shared" si="51"/>
        <v/>
      </c>
      <c r="AG1641" s="9"/>
      <c r="AH1641" s="10"/>
    </row>
    <row r="1642" spans="3:34" x14ac:dyDescent="0.35">
      <c r="C1642" s="5"/>
      <c r="D1642" s="5"/>
      <c r="T1642" s="6"/>
      <c r="U1642" s="6"/>
      <c r="V1642" s="6"/>
      <c r="W1642" s="7" t="str">
        <f t="shared" si="50"/>
        <v/>
      </c>
      <c r="X1642" s="8" t="str">
        <f t="shared" si="51"/>
        <v/>
      </c>
      <c r="AG1642" s="9"/>
      <c r="AH1642" s="10"/>
    </row>
    <row r="1643" spans="3:34" x14ac:dyDescent="0.35">
      <c r="C1643" s="5"/>
      <c r="D1643" s="5"/>
      <c r="T1643" s="6"/>
      <c r="U1643" s="6"/>
      <c r="V1643" s="6"/>
      <c r="W1643" s="7" t="str">
        <f t="shared" si="50"/>
        <v/>
      </c>
      <c r="X1643" s="8" t="str">
        <f t="shared" si="51"/>
        <v/>
      </c>
      <c r="AG1643" s="9"/>
      <c r="AH1643" s="10"/>
    </row>
    <row r="1644" spans="3:34" x14ac:dyDescent="0.35">
      <c r="C1644" s="5"/>
      <c r="D1644" s="5"/>
      <c r="T1644" s="6"/>
      <c r="U1644" s="6"/>
      <c r="V1644" s="6"/>
      <c r="W1644" s="7" t="str">
        <f t="shared" si="50"/>
        <v/>
      </c>
      <c r="X1644" s="8" t="str">
        <f t="shared" si="51"/>
        <v/>
      </c>
      <c r="AG1644" s="9"/>
      <c r="AH1644" s="10"/>
    </row>
    <row r="1645" spans="3:34" x14ac:dyDescent="0.35">
      <c r="C1645" s="5"/>
      <c r="D1645" s="5"/>
      <c r="T1645" s="6"/>
      <c r="U1645" s="6"/>
      <c r="V1645" s="6"/>
      <c r="W1645" s="7" t="str">
        <f t="shared" si="50"/>
        <v/>
      </c>
      <c r="X1645" s="8" t="str">
        <f t="shared" si="51"/>
        <v/>
      </c>
      <c r="AG1645" s="9"/>
      <c r="AH1645" s="10"/>
    </row>
    <row r="1646" spans="3:34" x14ac:dyDescent="0.35">
      <c r="C1646" s="5"/>
      <c r="D1646" s="5"/>
      <c r="T1646" s="6"/>
      <c r="U1646" s="6"/>
      <c r="V1646" s="6"/>
      <c r="W1646" s="7" t="str">
        <f t="shared" si="50"/>
        <v/>
      </c>
      <c r="X1646" s="8" t="str">
        <f t="shared" si="51"/>
        <v/>
      </c>
      <c r="AG1646" s="9"/>
      <c r="AH1646" s="10"/>
    </row>
    <row r="1647" spans="3:34" x14ac:dyDescent="0.35">
      <c r="C1647" s="5"/>
      <c r="D1647" s="5"/>
      <c r="T1647" s="6"/>
      <c r="U1647" s="6"/>
      <c r="V1647" s="6"/>
      <c r="W1647" s="7" t="str">
        <f t="shared" si="50"/>
        <v/>
      </c>
      <c r="X1647" s="8" t="str">
        <f t="shared" si="51"/>
        <v/>
      </c>
      <c r="AG1647" s="9"/>
      <c r="AH1647" s="10"/>
    </row>
    <row r="1648" spans="3:34" x14ac:dyDescent="0.35">
      <c r="C1648" s="5"/>
      <c r="D1648" s="5"/>
      <c r="T1648" s="6"/>
      <c r="U1648" s="6"/>
      <c r="V1648" s="6"/>
      <c r="W1648" s="7" t="str">
        <f t="shared" si="50"/>
        <v/>
      </c>
      <c r="X1648" s="8" t="str">
        <f t="shared" si="51"/>
        <v/>
      </c>
      <c r="AG1648" s="9"/>
      <c r="AH1648" s="10"/>
    </row>
    <row r="1649" spans="3:34" x14ac:dyDescent="0.35">
      <c r="C1649" s="5"/>
      <c r="D1649" s="5"/>
      <c r="T1649" s="6"/>
      <c r="U1649" s="6"/>
      <c r="V1649" s="6"/>
      <c r="W1649" s="7" t="str">
        <f t="shared" si="50"/>
        <v/>
      </c>
      <c r="X1649" s="8" t="str">
        <f t="shared" si="51"/>
        <v/>
      </c>
      <c r="AG1649" s="9"/>
      <c r="AH1649" s="10"/>
    </row>
    <row r="1650" spans="3:34" x14ac:dyDescent="0.35">
      <c r="C1650" s="5"/>
      <c r="D1650" s="5"/>
      <c r="T1650" s="6"/>
      <c r="U1650" s="6"/>
      <c r="V1650" s="6"/>
      <c r="W1650" s="7" t="str">
        <f t="shared" si="50"/>
        <v/>
      </c>
      <c r="X1650" s="8" t="str">
        <f t="shared" si="51"/>
        <v/>
      </c>
      <c r="AG1650" s="9"/>
      <c r="AH1650" s="10"/>
    </row>
    <row r="1651" spans="3:34" x14ac:dyDescent="0.35">
      <c r="C1651" s="5"/>
      <c r="D1651" s="5"/>
      <c r="T1651" s="6"/>
      <c r="U1651" s="6"/>
      <c r="V1651" s="6"/>
      <c r="W1651" s="7" t="str">
        <f t="shared" si="50"/>
        <v/>
      </c>
      <c r="X1651" s="8" t="str">
        <f t="shared" si="51"/>
        <v/>
      </c>
      <c r="AG1651" s="9"/>
      <c r="AH1651" s="10"/>
    </row>
    <row r="1652" spans="3:34" x14ac:dyDescent="0.35">
      <c r="C1652" s="5"/>
      <c r="D1652" s="5"/>
      <c r="T1652" s="6"/>
      <c r="U1652" s="6"/>
      <c r="V1652" s="6"/>
      <c r="W1652" s="7" t="str">
        <f t="shared" si="50"/>
        <v/>
      </c>
      <c r="X1652" s="8" t="str">
        <f t="shared" si="51"/>
        <v/>
      </c>
      <c r="AG1652" s="9"/>
      <c r="AH1652" s="10"/>
    </row>
    <row r="1653" spans="3:34" x14ac:dyDescent="0.35">
      <c r="C1653" s="5"/>
      <c r="D1653" s="5"/>
      <c r="T1653" s="6"/>
      <c r="U1653" s="6"/>
      <c r="V1653" s="6"/>
      <c r="W1653" s="7" t="str">
        <f t="shared" si="50"/>
        <v/>
      </c>
      <c r="X1653" s="8" t="str">
        <f t="shared" si="51"/>
        <v/>
      </c>
      <c r="AG1653" s="9"/>
      <c r="AH1653" s="10"/>
    </row>
    <row r="1654" spans="3:34" x14ac:dyDescent="0.35">
      <c r="C1654" s="5"/>
      <c r="D1654" s="5"/>
      <c r="T1654" s="6"/>
      <c r="U1654" s="6"/>
      <c r="V1654" s="6"/>
      <c r="W1654" s="7" t="str">
        <f t="shared" si="50"/>
        <v/>
      </c>
      <c r="X1654" s="8" t="str">
        <f t="shared" si="51"/>
        <v/>
      </c>
      <c r="AG1654" s="9"/>
      <c r="AH1654" s="10"/>
    </row>
    <row r="1655" spans="3:34" x14ac:dyDescent="0.35">
      <c r="C1655" s="5"/>
      <c r="D1655" s="5"/>
      <c r="T1655" s="6"/>
      <c r="U1655" s="6"/>
      <c r="V1655" s="6"/>
      <c r="W1655" s="7" t="str">
        <f t="shared" si="50"/>
        <v/>
      </c>
      <c r="X1655" s="8" t="str">
        <f t="shared" si="51"/>
        <v/>
      </c>
      <c r="AG1655" s="9"/>
      <c r="AH1655" s="10"/>
    </row>
    <row r="1656" spans="3:34" x14ac:dyDescent="0.35">
      <c r="C1656" s="5"/>
      <c r="D1656" s="5"/>
      <c r="T1656" s="6"/>
      <c r="U1656" s="6"/>
      <c r="V1656" s="6"/>
      <c r="W1656" s="7" t="str">
        <f t="shared" si="50"/>
        <v/>
      </c>
      <c r="X1656" s="8" t="str">
        <f t="shared" si="51"/>
        <v/>
      </c>
      <c r="AG1656" s="9"/>
      <c r="AH1656" s="10"/>
    </row>
    <row r="1657" spans="3:34" x14ac:dyDescent="0.35">
      <c r="C1657" s="5"/>
      <c r="D1657" s="5"/>
      <c r="T1657" s="6"/>
      <c r="U1657" s="6"/>
      <c r="V1657" s="6"/>
      <c r="W1657" s="7" t="str">
        <f t="shared" si="50"/>
        <v/>
      </c>
      <c r="X1657" s="8" t="str">
        <f t="shared" si="51"/>
        <v/>
      </c>
      <c r="AG1657" s="9"/>
      <c r="AH1657" s="10"/>
    </row>
    <row r="1658" spans="3:34" x14ac:dyDescent="0.35">
      <c r="C1658" s="5"/>
      <c r="D1658" s="5"/>
      <c r="T1658" s="6"/>
      <c r="U1658" s="6"/>
      <c r="V1658" s="6"/>
      <c r="W1658" s="7" t="str">
        <f t="shared" si="50"/>
        <v/>
      </c>
      <c r="X1658" s="8" t="str">
        <f t="shared" si="51"/>
        <v/>
      </c>
      <c r="AG1658" s="9"/>
      <c r="AH1658" s="10"/>
    </row>
    <row r="1659" spans="3:34" x14ac:dyDescent="0.35">
      <c r="C1659" s="5"/>
      <c r="D1659" s="5"/>
      <c r="T1659" s="6"/>
      <c r="U1659" s="6"/>
      <c r="V1659" s="6"/>
      <c r="W1659" s="7" t="str">
        <f t="shared" si="50"/>
        <v/>
      </c>
      <c r="X1659" s="8" t="str">
        <f t="shared" si="51"/>
        <v/>
      </c>
      <c r="AG1659" s="9"/>
      <c r="AH1659" s="10"/>
    </row>
    <row r="1660" spans="3:34" x14ac:dyDescent="0.35">
      <c r="C1660" s="5"/>
      <c r="D1660" s="5"/>
      <c r="T1660" s="6"/>
      <c r="U1660" s="6"/>
      <c r="V1660" s="6"/>
      <c r="W1660" s="7" t="str">
        <f t="shared" si="50"/>
        <v/>
      </c>
      <c r="X1660" s="8" t="str">
        <f t="shared" si="51"/>
        <v/>
      </c>
      <c r="AG1660" s="9"/>
      <c r="AH1660" s="10"/>
    </row>
    <row r="1661" spans="3:34" x14ac:dyDescent="0.35">
      <c r="C1661" s="5"/>
      <c r="D1661" s="5"/>
      <c r="T1661" s="6"/>
      <c r="U1661" s="6"/>
      <c r="V1661" s="6"/>
      <c r="W1661" s="7" t="str">
        <f t="shared" si="50"/>
        <v/>
      </c>
      <c r="X1661" s="8" t="str">
        <f t="shared" si="51"/>
        <v/>
      </c>
      <c r="AG1661" s="9"/>
      <c r="AH1661" s="10"/>
    </row>
    <row r="1662" spans="3:34" x14ac:dyDescent="0.35">
      <c r="C1662" s="5"/>
      <c r="D1662" s="5"/>
      <c r="T1662" s="6"/>
      <c r="U1662" s="6"/>
      <c r="V1662" s="6"/>
      <c r="W1662" s="7" t="str">
        <f t="shared" si="50"/>
        <v/>
      </c>
      <c r="X1662" s="8" t="str">
        <f t="shared" si="51"/>
        <v/>
      </c>
      <c r="AG1662" s="9"/>
      <c r="AH1662" s="10"/>
    </row>
    <row r="1663" spans="3:34" x14ac:dyDescent="0.35">
      <c r="C1663" s="5"/>
      <c r="D1663" s="5"/>
      <c r="T1663" s="6"/>
      <c r="U1663" s="6"/>
      <c r="V1663" s="6"/>
      <c r="W1663" s="7" t="str">
        <f t="shared" si="50"/>
        <v/>
      </c>
      <c r="X1663" s="8" t="str">
        <f t="shared" si="51"/>
        <v/>
      </c>
      <c r="AG1663" s="9"/>
      <c r="AH1663" s="10"/>
    </row>
    <row r="1664" spans="3:34" x14ac:dyDescent="0.35">
      <c r="C1664" s="5"/>
      <c r="D1664" s="5"/>
      <c r="T1664" s="6"/>
      <c r="U1664" s="6"/>
      <c r="V1664" s="6"/>
      <c r="W1664" s="7" t="str">
        <f t="shared" si="50"/>
        <v/>
      </c>
      <c r="X1664" s="8" t="str">
        <f t="shared" si="51"/>
        <v/>
      </c>
      <c r="AG1664" s="9"/>
      <c r="AH1664" s="10"/>
    </row>
    <row r="1665" spans="3:34" x14ac:dyDescent="0.35">
      <c r="C1665" s="5"/>
      <c r="D1665" s="5"/>
      <c r="T1665" s="6"/>
      <c r="U1665" s="6"/>
      <c r="V1665" s="6"/>
      <c r="W1665" s="7" t="str">
        <f t="shared" si="50"/>
        <v/>
      </c>
      <c r="X1665" s="8" t="str">
        <f t="shared" si="51"/>
        <v/>
      </c>
      <c r="AG1665" s="9"/>
      <c r="AH1665" s="10"/>
    </row>
    <row r="1666" spans="3:34" x14ac:dyDescent="0.35">
      <c r="C1666" s="5"/>
      <c r="D1666" s="5"/>
      <c r="T1666" s="6"/>
      <c r="U1666" s="6"/>
      <c r="V1666" s="6"/>
      <c r="W1666" s="7" t="str">
        <f t="shared" ref="W1666:W1729" si="52">IF($U1666&gt;0,$U1666-$V1666,"")</f>
        <v/>
      </c>
      <c r="X1666" s="8" t="str">
        <f t="shared" ref="X1666:X1729" si="53">IF($U1666&gt;0,($U1666-$V1666)/$U1666,"")</f>
        <v/>
      </c>
      <c r="AG1666" s="9"/>
      <c r="AH1666" s="10"/>
    </row>
    <row r="1667" spans="3:34" x14ac:dyDescent="0.35">
      <c r="C1667" s="5"/>
      <c r="D1667" s="5"/>
      <c r="T1667" s="6"/>
      <c r="U1667" s="6"/>
      <c r="V1667" s="6"/>
      <c r="W1667" s="7" t="str">
        <f t="shared" si="52"/>
        <v/>
      </c>
      <c r="X1667" s="8" t="str">
        <f t="shared" si="53"/>
        <v/>
      </c>
      <c r="AG1667" s="9"/>
      <c r="AH1667" s="10"/>
    </row>
    <row r="1668" spans="3:34" x14ac:dyDescent="0.35">
      <c r="C1668" s="5"/>
      <c r="D1668" s="5"/>
      <c r="T1668" s="6"/>
      <c r="U1668" s="6"/>
      <c r="V1668" s="6"/>
      <c r="W1668" s="7" t="str">
        <f t="shared" si="52"/>
        <v/>
      </c>
      <c r="X1668" s="8" t="str">
        <f t="shared" si="53"/>
        <v/>
      </c>
      <c r="AG1668" s="9"/>
      <c r="AH1668" s="10"/>
    </row>
    <row r="1669" spans="3:34" x14ac:dyDescent="0.35">
      <c r="C1669" s="5"/>
      <c r="D1669" s="5"/>
      <c r="T1669" s="6"/>
      <c r="U1669" s="6"/>
      <c r="V1669" s="6"/>
      <c r="W1669" s="7" t="str">
        <f t="shared" si="52"/>
        <v/>
      </c>
      <c r="X1669" s="8" t="str">
        <f t="shared" si="53"/>
        <v/>
      </c>
      <c r="AG1669" s="9"/>
      <c r="AH1669" s="10"/>
    </row>
    <row r="1670" spans="3:34" x14ac:dyDescent="0.35">
      <c r="C1670" s="5"/>
      <c r="D1670" s="5"/>
      <c r="T1670" s="6"/>
      <c r="U1670" s="6"/>
      <c r="V1670" s="6"/>
      <c r="W1670" s="7" t="str">
        <f t="shared" si="52"/>
        <v/>
      </c>
      <c r="X1670" s="8" t="str">
        <f t="shared" si="53"/>
        <v/>
      </c>
      <c r="AG1670" s="9"/>
      <c r="AH1670" s="10"/>
    </row>
    <row r="1671" spans="3:34" x14ac:dyDescent="0.35">
      <c r="C1671" s="5"/>
      <c r="D1671" s="5"/>
      <c r="T1671" s="6"/>
      <c r="U1671" s="6"/>
      <c r="V1671" s="6"/>
      <c r="W1671" s="7" t="str">
        <f t="shared" si="52"/>
        <v/>
      </c>
      <c r="X1671" s="8" t="str">
        <f t="shared" si="53"/>
        <v/>
      </c>
      <c r="AG1671" s="9"/>
      <c r="AH1671" s="10"/>
    </row>
    <row r="1672" spans="3:34" x14ac:dyDescent="0.35">
      <c r="C1672" s="5"/>
      <c r="D1672" s="5"/>
      <c r="T1672" s="6"/>
      <c r="U1672" s="6"/>
      <c r="V1672" s="6"/>
      <c r="W1672" s="7" t="str">
        <f t="shared" si="52"/>
        <v/>
      </c>
      <c r="X1672" s="8" t="str">
        <f t="shared" si="53"/>
        <v/>
      </c>
      <c r="AG1672" s="9"/>
      <c r="AH1672" s="10"/>
    </row>
    <row r="1673" spans="3:34" x14ac:dyDescent="0.35">
      <c r="C1673" s="5"/>
      <c r="D1673" s="5"/>
      <c r="T1673" s="6"/>
      <c r="U1673" s="6"/>
      <c r="V1673" s="6"/>
      <c r="W1673" s="7" t="str">
        <f t="shared" si="52"/>
        <v/>
      </c>
      <c r="X1673" s="8" t="str">
        <f t="shared" si="53"/>
        <v/>
      </c>
      <c r="AG1673" s="9"/>
      <c r="AH1673" s="10"/>
    </row>
    <row r="1674" spans="3:34" x14ac:dyDescent="0.35">
      <c r="C1674" s="5"/>
      <c r="D1674" s="5"/>
      <c r="T1674" s="6"/>
      <c r="U1674" s="6"/>
      <c r="V1674" s="6"/>
      <c r="W1674" s="7" t="str">
        <f t="shared" si="52"/>
        <v/>
      </c>
      <c r="X1674" s="8" t="str">
        <f t="shared" si="53"/>
        <v/>
      </c>
      <c r="AG1674" s="9"/>
      <c r="AH1674" s="10"/>
    </row>
    <row r="1675" spans="3:34" x14ac:dyDescent="0.35">
      <c r="C1675" s="5"/>
      <c r="D1675" s="5"/>
      <c r="T1675" s="6"/>
      <c r="U1675" s="6"/>
      <c r="V1675" s="6"/>
      <c r="W1675" s="7" t="str">
        <f t="shared" si="52"/>
        <v/>
      </c>
      <c r="X1675" s="8" t="str">
        <f t="shared" si="53"/>
        <v/>
      </c>
      <c r="AG1675" s="9"/>
      <c r="AH1675" s="10"/>
    </row>
    <row r="1676" spans="3:34" x14ac:dyDescent="0.35">
      <c r="C1676" s="5"/>
      <c r="D1676" s="5"/>
      <c r="T1676" s="6"/>
      <c r="U1676" s="6"/>
      <c r="V1676" s="6"/>
      <c r="W1676" s="7" t="str">
        <f t="shared" si="52"/>
        <v/>
      </c>
      <c r="X1676" s="8" t="str">
        <f t="shared" si="53"/>
        <v/>
      </c>
      <c r="AG1676" s="9"/>
      <c r="AH1676" s="10"/>
    </row>
    <row r="1677" spans="3:34" x14ac:dyDescent="0.35">
      <c r="C1677" s="5"/>
      <c r="D1677" s="5"/>
      <c r="T1677" s="6"/>
      <c r="U1677" s="6"/>
      <c r="V1677" s="6"/>
      <c r="W1677" s="7" t="str">
        <f t="shared" si="52"/>
        <v/>
      </c>
      <c r="X1677" s="8" t="str">
        <f t="shared" si="53"/>
        <v/>
      </c>
      <c r="AG1677" s="9"/>
      <c r="AH1677" s="10"/>
    </row>
    <row r="1678" spans="3:34" x14ac:dyDescent="0.35">
      <c r="C1678" s="5"/>
      <c r="D1678" s="5"/>
      <c r="T1678" s="6"/>
      <c r="U1678" s="6"/>
      <c r="V1678" s="6"/>
      <c r="W1678" s="7" t="str">
        <f t="shared" si="52"/>
        <v/>
      </c>
      <c r="X1678" s="8" t="str">
        <f t="shared" si="53"/>
        <v/>
      </c>
      <c r="AG1678" s="9"/>
      <c r="AH1678" s="10"/>
    </row>
    <row r="1679" spans="3:34" x14ac:dyDescent="0.35">
      <c r="C1679" s="5"/>
      <c r="D1679" s="5"/>
      <c r="T1679" s="6"/>
      <c r="U1679" s="6"/>
      <c r="V1679" s="6"/>
      <c r="W1679" s="7" t="str">
        <f t="shared" si="52"/>
        <v/>
      </c>
      <c r="X1679" s="8" t="str">
        <f t="shared" si="53"/>
        <v/>
      </c>
      <c r="AG1679" s="9"/>
      <c r="AH1679" s="10"/>
    </row>
    <row r="1680" spans="3:34" x14ac:dyDescent="0.35">
      <c r="C1680" s="5"/>
      <c r="D1680" s="5"/>
      <c r="T1680" s="6"/>
      <c r="U1680" s="6"/>
      <c r="V1680" s="6"/>
      <c r="W1680" s="7" t="str">
        <f t="shared" si="52"/>
        <v/>
      </c>
      <c r="X1680" s="8" t="str">
        <f t="shared" si="53"/>
        <v/>
      </c>
      <c r="AG1680" s="9"/>
      <c r="AH1680" s="10"/>
    </row>
    <row r="1681" spans="3:34" x14ac:dyDescent="0.35">
      <c r="C1681" s="5"/>
      <c r="D1681" s="5"/>
      <c r="T1681" s="6"/>
      <c r="U1681" s="6"/>
      <c r="V1681" s="6"/>
      <c r="W1681" s="7" t="str">
        <f t="shared" si="52"/>
        <v/>
      </c>
      <c r="X1681" s="8" t="str">
        <f t="shared" si="53"/>
        <v/>
      </c>
      <c r="AG1681" s="9"/>
      <c r="AH1681" s="10"/>
    </row>
    <row r="1682" spans="3:34" x14ac:dyDescent="0.35">
      <c r="C1682" s="5"/>
      <c r="D1682" s="5"/>
      <c r="T1682" s="6"/>
      <c r="U1682" s="6"/>
      <c r="V1682" s="6"/>
      <c r="W1682" s="7" t="str">
        <f t="shared" si="52"/>
        <v/>
      </c>
      <c r="X1682" s="8" t="str">
        <f t="shared" si="53"/>
        <v/>
      </c>
      <c r="AG1682" s="9"/>
      <c r="AH1682" s="10"/>
    </row>
    <row r="1683" spans="3:34" x14ac:dyDescent="0.35">
      <c r="C1683" s="5"/>
      <c r="D1683" s="5"/>
      <c r="T1683" s="6"/>
      <c r="U1683" s="6"/>
      <c r="V1683" s="6"/>
      <c r="W1683" s="7" t="str">
        <f t="shared" si="52"/>
        <v/>
      </c>
      <c r="X1683" s="8" t="str">
        <f t="shared" si="53"/>
        <v/>
      </c>
      <c r="AG1683" s="9"/>
      <c r="AH1683" s="10"/>
    </row>
    <row r="1684" spans="3:34" x14ac:dyDescent="0.35">
      <c r="C1684" s="5"/>
      <c r="D1684" s="5"/>
      <c r="T1684" s="6"/>
      <c r="U1684" s="6"/>
      <c r="V1684" s="6"/>
      <c r="W1684" s="7" t="str">
        <f t="shared" si="52"/>
        <v/>
      </c>
      <c r="X1684" s="8" t="str">
        <f t="shared" si="53"/>
        <v/>
      </c>
      <c r="AG1684" s="9"/>
      <c r="AH1684" s="10"/>
    </row>
    <row r="1685" spans="3:34" x14ac:dyDescent="0.35">
      <c r="C1685" s="5"/>
      <c r="D1685" s="5"/>
      <c r="T1685" s="6"/>
      <c r="U1685" s="6"/>
      <c r="V1685" s="6"/>
      <c r="W1685" s="7" t="str">
        <f t="shared" si="52"/>
        <v/>
      </c>
      <c r="X1685" s="8" t="str">
        <f t="shared" si="53"/>
        <v/>
      </c>
      <c r="AG1685" s="9"/>
      <c r="AH1685" s="10"/>
    </row>
    <row r="1686" spans="3:34" x14ac:dyDescent="0.35">
      <c r="C1686" s="5"/>
      <c r="D1686" s="5"/>
      <c r="T1686" s="6"/>
      <c r="U1686" s="6"/>
      <c r="V1686" s="6"/>
      <c r="W1686" s="7" t="str">
        <f t="shared" si="52"/>
        <v/>
      </c>
      <c r="X1686" s="8" t="str">
        <f t="shared" si="53"/>
        <v/>
      </c>
      <c r="AG1686" s="9"/>
      <c r="AH1686" s="10"/>
    </row>
    <row r="1687" spans="3:34" x14ac:dyDescent="0.35">
      <c r="C1687" s="5"/>
      <c r="D1687" s="5"/>
      <c r="T1687" s="6"/>
      <c r="U1687" s="6"/>
      <c r="V1687" s="6"/>
      <c r="W1687" s="7" t="str">
        <f t="shared" si="52"/>
        <v/>
      </c>
      <c r="X1687" s="8" t="str">
        <f t="shared" si="53"/>
        <v/>
      </c>
      <c r="AG1687" s="9"/>
      <c r="AH1687" s="10"/>
    </row>
    <row r="1688" spans="3:34" x14ac:dyDescent="0.35">
      <c r="C1688" s="5"/>
      <c r="D1688" s="5"/>
      <c r="T1688" s="6"/>
      <c r="U1688" s="6"/>
      <c r="V1688" s="6"/>
      <c r="W1688" s="7" t="str">
        <f t="shared" si="52"/>
        <v/>
      </c>
      <c r="X1688" s="8" t="str">
        <f t="shared" si="53"/>
        <v/>
      </c>
      <c r="AG1688" s="9"/>
      <c r="AH1688" s="10"/>
    </row>
    <row r="1689" spans="3:34" x14ac:dyDescent="0.35">
      <c r="C1689" s="5"/>
      <c r="D1689" s="5"/>
      <c r="T1689" s="6"/>
      <c r="U1689" s="6"/>
      <c r="V1689" s="6"/>
      <c r="W1689" s="7" t="str">
        <f t="shared" si="52"/>
        <v/>
      </c>
      <c r="X1689" s="8" t="str">
        <f t="shared" si="53"/>
        <v/>
      </c>
      <c r="AG1689" s="9"/>
      <c r="AH1689" s="10"/>
    </row>
    <row r="1690" spans="3:34" x14ac:dyDescent="0.35">
      <c r="C1690" s="5"/>
      <c r="D1690" s="5"/>
      <c r="T1690" s="6"/>
      <c r="U1690" s="6"/>
      <c r="V1690" s="6"/>
      <c r="W1690" s="7" t="str">
        <f t="shared" si="52"/>
        <v/>
      </c>
      <c r="X1690" s="8" t="str">
        <f t="shared" si="53"/>
        <v/>
      </c>
      <c r="AG1690" s="9"/>
      <c r="AH1690" s="10"/>
    </row>
    <row r="1691" spans="3:34" x14ac:dyDescent="0.35">
      <c r="C1691" s="5"/>
      <c r="D1691" s="5"/>
      <c r="T1691" s="6"/>
      <c r="U1691" s="6"/>
      <c r="V1691" s="6"/>
      <c r="W1691" s="7" t="str">
        <f t="shared" si="52"/>
        <v/>
      </c>
      <c r="X1691" s="8" t="str">
        <f t="shared" si="53"/>
        <v/>
      </c>
      <c r="AG1691" s="9"/>
      <c r="AH1691" s="10"/>
    </row>
    <row r="1692" spans="3:34" x14ac:dyDescent="0.35">
      <c r="C1692" s="5"/>
      <c r="D1692" s="5"/>
      <c r="T1692" s="6"/>
      <c r="U1692" s="6"/>
      <c r="V1692" s="6"/>
      <c r="W1692" s="7" t="str">
        <f t="shared" si="52"/>
        <v/>
      </c>
      <c r="X1692" s="8" t="str">
        <f t="shared" si="53"/>
        <v/>
      </c>
      <c r="AG1692" s="9"/>
      <c r="AH1692" s="10"/>
    </row>
    <row r="1693" spans="3:34" x14ac:dyDescent="0.35">
      <c r="C1693" s="5"/>
      <c r="D1693" s="5"/>
      <c r="T1693" s="6"/>
      <c r="U1693" s="6"/>
      <c r="V1693" s="6"/>
      <c r="W1693" s="7" t="str">
        <f t="shared" si="52"/>
        <v/>
      </c>
      <c r="X1693" s="8" t="str">
        <f t="shared" si="53"/>
        <v/>
      </c>
      <c r="AG1693" s="9"/>
      <c r="AH1693" s="10"/>
    </row>
    <row r="1694" spans="3:34" x14ac:dyDescent="0.35">
      <c r="C1694" s="5"/>
      <c r="D1694" s="5"/>
      <c r="T1694" s="6"/>
      <c r="U1694" s="6"/>
      <c r="V1694" s="6"/>
      <c r="W1694" s="7" t="str">
        <f t="shared" si="52"/>
        <v/>
      </c>
      <c r="X1694" s="8" t="str">
        <f t="shared" si="53"/>
        <v/>
      </c>
      <c r="AG1694" s="9"/>
      <c r="AH1694" s="10"/>
    </row>
    <row r="1695" spans="3:34" x14ac:dyDescent="0.35">
      <c r="C1695" s="5"/>
      <c r="D1695" s="5"/>
      <c r="T1695" s="6"/>
      <c r="U1695" s="6"/>
      <c r="V1695" s="6"/>
      <c r="W1695" s="7" t="str">
        <f t="shared" si="52"/>
        <v/>
      </c>
      <c r="X1695" s="8" t="str">
        <f t="shared" si="53"/>
        <v/>
      </c>
      <c r="AG1695" s="9"/>
      <c r="AH1695" s="10"/>
    </row>
    <row r="1696" spans="3:34" x14ac:dyDescent="0.35">
      <c r="C1696" s="5"/>
      <c r="D1696" s="5"/>
      <c r="T1696" s="6"/>
      <c r="U1696" s="6"/>
      <c r="V1696" s="6"/>
      <c r="W1696" s="7" t="str">
        <f t="shared" si="52"/>
        <v/>
      </c>
      <c r="X1696" s="8" t="str">
        <f t="shared" si="53"/>
        <v/>
      </c>
      <c r="AG1696" s="9"/>
      <c r="AH1696" s="10"/>
    </row>
    <row r="1697" spans="3:34" x14ac:dyDescent="0.35">
      <c r="C1697" s="5"/>
      <c r="D1697" s="5"/>
      <c r="T1697" s="6"/>
      <c r="U1697" s="6"/>
      <c r="V1697" s="6"/>
      <c r="W1697" s="7" t="str">
        <f t="shared" si="52"/>
        <v/>
      </c>
      <c r="X1697" s="8" t="str">
        <f t="shared" si="53"/>
        <v/>
      </c>
      <c r="AG1697" s="9"/>
      <c r="AH1697" s="10"/>
    </row>
    <row r="1698" spans="3:34" x14ac:dyDescent="0.35">
      <c r="C1698" s="5"/>
      <c r="D1698" s="5"/>
      <c r="T1698" s="6"/>
      <c r="U1698" s="6"/>
      <c r="V1698" s="6"/>
      <c r="W1698" s="7" t="str">
        <f t="shared" si="52"/>
        <v/>
      </c>
      <c r="X1698" s="8" t="str">
        <f t="shared" si="53"/>
        <v/>
      </c>
      <c r="AG1698" s="9"/>
      <c r="AH1698" s="10"/>
    </row>
    <row r="1699" spans="3:34" x14ac:dyDescent="0.35">
      <c r="C1699" s="5"/>
      <c r="D1699" s="5"/>
      <c r="T1699" s="6"/>
      <c r="U1699" s="6"/>
      <c r="V1699" s="6"/>
      <c r="W1699" s="7" t="str">
        <f t="shared" si="52"/>
        <v/>
      </c>
      <c r="X1699" s="8" t="str">
        <f t="shared" si="53"/>
        <v/>
      </c>
      <c r="AG1699" s="9"/>
      <c r="AH1699" s="10"/>
    </row>
    <row r="1700" spans="3:34" x14ac:dyDescent="0.35">
      <c r="C1700" s="5"/>
      <c r="D1700" s="5"/>
      <c r="T1700" s="6"/>
      <c r="U1700" s="6"/>
      <c r="V1700" s="6"/>
      <c r="W1700" s="7" t="str">
        <f t="shared" si="52"/>
        <v/>
      </c>
      <c r="X1700" s="8" t="str">
        <f t="shared" si="53"/>
        <v/>
      </c>
      <c r="AG1700" s="9"/>
      <c r="AH1700" s="10"/>
    </row>
    <row r="1701" spans="3:34" x14ac:dyDescent="0.35">
      <c r="C1701" s="5"/>
      <c r="D1701" s="5"/>
      <c r="T1701" s="6"/>
      <c r="U1701" s="6"/>
      <c r="V1701" s="6"/>
      <c r="W1701" s="7" t="str">
        <f t="shared" si="52"/>
        <v/>
      </c>
      <c r="X1701" s="8" t="str">
        <f t="shared" si="53"/>
        <v/>
      </c>
      <c r="AG1701" s="9"/>
      <c r="AH1701" s="10"/>
    </row>
    <row r="1702" spans="3:34" x14ac:dyDescent="0.35">
      <c r="C1702" s="5"/>
      <c r="D1702" s="5"/>
      <c r="T1702" s="6"/>
      <c r="U1702" s="6"/>
      <c r="V1702" s="6"/>
      <c r="W1702" s="7" t="str">
        <f t="shared" si="52"/>
        <v/>
      </c>
      <c r="X1702" s="8" t="str">
        <f t="shared" si="53"/>
        <v/>
      </c>
      <c r="AG1702" s="9"/>
      <c r="AH1702" s="10"/>
    </row>
    <row r="1703" spans="3:34" x14ac:dyDescent="0.35">
      <c r="C1703" s="5"/>
      <c r="D1703" s="5"/>
      <c r="T1703" s="6"/>
      <c r="U1703" s="6"/>
      <c r="V1703" s="6"/>
      <c r="W1703" s="7" t="str">
        <f t="shared" si="52"/>
        <v/>
      </c>
      <c r="X1703" s="8" t="str">
        <f t="shared" si="53"/>
        <v/>
      </c>
      <c r="AG1703" s="9"/>
      <c r="AH1703" s="10"/>
    </row>
    <row r="1704" spans="3:34" x14ac:dyDescent="0.35">
      <c r="C1704" s="5"/>
      <c r="D1704" s="5"/>
      <c r="T1704" s="6"/>
      <c r="U1704" s="6"/>
      <c r="V1704" s="6"/>
      <c r="W1704" s="7" t="str">
        <f t="shared" si="52"/>
        <v/>
      </c>
      <c r="X1704" s="8" t="str">
        <f t="shared" si="53"/>
        <v/>
      </c>
      <c r="AG1704" s="9"/>
      <c r="AH1704" s="10"/>
    </row>
    <row r="1705" spans="3:34" x14ac:dyDescent="0.35">
      <c r="C1705" s="5"/>
      <c r="D1705" s="5"/>
      <c r="T1705" s="6"/>
      <c r="U1705" s="6"/>
      <c r="V1705" s="6"/>
      <c r="W1705" s="7" t="str">
        <f t="shared" si="52"/>
        <v/>
      </c>
      <c r="X1705" s="8" t="str">
        <f t="shared" si="53"/>
        <v/>
      </c>
      <c r="AG1705" s="9"/>
      <c r="AH1705" s="10"/>
    </row>
    <row r="1706" spans="3:34" x14ac:dyDescent="0.35">
      <c r="C1706" s="5"/>
      <c r="D1706" s="5"/>
      <c r="T1706" s="6"/>
      <c r="U1706" s="6"/>
      <c r="V1706" s="6"/>
      <c r="W1706" s="7" t="str">
        <f t="shared" si="52"/>
        <v/>
      </c>
      <c r="X1706" s="8" t="str">
        <f t="shared" si="53"/>
        <v/>
      </c>
      <c r="AG1706" s="9"/>
      <c r="AH1706" s="10"/>
    </row>
    <row r="1707" spans="3:34" x14ac:dyDescent="0.35">
      <c r="C1707" s="5"/>
      <c r="D1707" s="5"/>
      <c r="T1707" s="6"/>
      <c r="U1707" s="6"/>
      <c r="V1707" s="6"/>
      <c r="W1707" s="7" t="str">
        <f t="shared" si="52"/>
        <v/>
      </c>
      <c r="X1707" s="8" t="str">
        <f t="shared" si="53"/>
        <v/>
      </c>
      <c r="AG1707" s="9"/>
      <c r="AH1707" s="10"/>
    </row>
    <row r="1708" spans="3:34" x14ac:dyDescent="0.35">
      <c r="C1708" s="5"/>
      <c r="D1708" s="5"/>
      <c r="T1708" s="6"/>
      <c r="U1708" s="6"/>
      <c r="V1708" s="6"/>
      <c r="W1708" s="7" t="str">
        <f t="shared" si="52"/>
        <v/>
      </c>
      <c r="X1708" s="8" t="str">
        <f t="shared" si="53"/>
        <v/>
      </c>
      <c r="AG1708" s="9"/>
      <c r="AH1708" s="10"/>
    </row>
    <row r="1709" spans="3:34" x14ac:dyDescent="0.35">
      <c r="C1709" s="5"/>
      <c r="D1709" s="5"/>
      <c r="T1709" s="6"/>
      <c r="U1709" s="6"/>
      <c r="V1709" s="6"/>
      <c r="W1709" s="7" t="str">
        <f t="shared" si="52"/>
        <v/>
      </c>
      <c r="X1709" s="8" t="str">
        <f t="shared" si="53"/>
        <v/>
      </c>
      <c r="AG1709" s="9"/>
      <c r="AH1709" s="10"/>
    </row>
    <row r="1710" spans="3:34" x14ac:dyDescent="0.35">
      <c r="C1710" s="5"/>
      <c r="D1710" s="5"/>
      <c r="T1710" s="6"/>
      <c r="U1710" s="6"/>
      <c r="V1710" s="6"/>
      <c r="W1710" s="7" t="str">
        <f t="shared" si="52"/>
        <v/>
      </c>
      <c r="X1710" s="8" t="str">
        <f t="shared" si="53"/>
        <v/>
      </c>
      <c r="AG1710" s="9"/>
      <c r="AH1710" s="10"/>
    </row>
    <row r="1711" spans="3:34" x14ac:dyDescent="0.35">
      <c r="C1711" s="5"/>
      <c r="D1711" s="5"/>
      <c r="T1711" s="6"/>
      <c r="U1711" s="6"/>
      <c r="V1711" s="6"/>
      <c r="W1711" s="7" t="str">
        <f t="shared" si="52"/>
        <v/>
      </c>
      <c r="X1711" s="8" t="str">
        <f t="shared" si="53"/>
        <v/>
      </c>
      <c r="AG1711" s="9"/>
      <c r="AH1711" s="10"/>
    </row>
    <row r="1712" spans="3:34" x14ac:dyDescent="0.35">
      <c r="C1712" s="5"/>
      <c r="D1712" s="5"/>
      <c r="T1712" s="6"/>
      <c r="U1712" s="6"/>
      <c r="V1712" s="6"/>
      <c r="W1712" s="7" t="str">
        <f t="shared" si="52"/>
        <v/>
      </c>
      <c r="X1712" s="8" t="str">
        <f t="shared" si="53"/>
        <v/>
      </c>
      <c r="AG1712" s="9"/>
      <c r="AH1712" s="10"/>
    </row>
    <row r="1713" spans="3:34" x14ac:dyDescent="0.35">
      <c r="C1713" s="5"/>
      <c r="D1713" s="5"/>
      <c r="T1713" s="6"/>
      <c r="U1713" s="6"/>
      <c r="V1713" s="6"/>
      <c r="W1713" s="7" t="str">
        <f t="shared" si="52"/>
        <v/>
      </c>
      <c r="X1713" s="8" t="str">
        <f t="shared" si="53"/>
        <v/>
      </c>
      <c r="AG1713" s="9"/>
      <c r="AH1713" s="10"/>
    </row>
    <row r="1714" spans="3:34" x14ac:dyDescent="0.35">
      <c r="C1714" s="5"/>
      <c r="D1714" s="5"/>
      <c r="T1714" s="6"/>
      <c r="U1714" s="6"/>
      <c r="V1714" s="6"/>
      <c r="W1714" s="7" t="str">
        <f t="shared" si="52"/>
        <v/>
      </c>
      <c r="X1714" s="8" t="str">
        <f t="shared" si="53"/>
        <v/>
      </c>
      <c r="AG1714" s="9"/>
      <c r="AH1714" s="10"/>
    </row>
    <row r="1715" spans="3:34" x14ac:dyDescent="0.35">
      <c r="C1715" s="5"/>
      <c r="D1715" s="5"/>
      <c r="T1715" s="6"/>
      <c r="U1715" s="6"/>
      <c r="V1715" s="6"/>
      <c r="W1715" s="7" t="str">
        <f t="shared" si="52"/>
        <v/>
      </c>
      <c r="X1715" s="8" t="str">
        <f t="shared" si="53"/>
        <v/>
      </c>
      <c r="AG1715" s="9"/>
      <c r="AH1715" s="10"/>
    </row>
    <row r="1716" spans="3:34" x14ac:dyDescent="0.35">
      <c r="C1716" s="5"/>
      <c r="D1716" s="5"/>
      <c r="T1716" s="6"/>
      <c r="U1716" s="6"/>
      <c r="V1716" s="6"/>
      <c r="W1716" s="7" t="str">
        <f t="shared" si="52"/>
        <v/>
      </c>
      <c r="X1716" s="8" t="str">
        <f t="shared" si="53"/>
        <v/>
      </c>
      <c r="AG1716" s="9"/>
      <c r="AH1716" s="10"/>
    </row>
    <row r="1717" spans="3:34" x14ac:dyDescent="0.35">
      <c r="C1717" s="5"/>
      <c r="D1717" s="5"/>
      <c r="T1717" s="6"/>
      <c r="U1717" s="6"/>
      <c r="V1717" s="6"/>
      <c r="W1717" s="7" t="str">
        <f t="shared" si="52"/>
        <v/>
      </c>
      <c r="X1717" s="8" t="str">
        <f t="shared" si="53"/>
        <v/>
      </c>
      <c r="AG1717" s="9"/>
      <c r="AH1717" s="10"/>
    </row>
    <row r="1718" spans="3:34" x14ac:dyDescent="0.35">
      <c r="C1718" s="5"/>
      <c r="D1718" s="5"/>
      <c r="T1718" s="6"/>
      <c r="U1718" s="6"/>
      <c r="V1718" s="6"/>
      <c r="W1718" s="7" t="str">
        <f t="shared" si="52"/>
        <v/>
      </c>
      <c r="X1718" s="8" t="str">
        <f t="shared" si="53"/>
        <v/>
      </c>
      <c r="AG1718" s="9"/>
      <c r="AH1718" s="10"/>
    </row>
    <row r="1719" spans="3:34" x14ac:dyDescent="0.35">
      <c r="C1719" s="5"/>
      <c r="D1719" s="5"/>
      <c r="T1719" s="6"/>
      <c r="U1719" s="6"/>
      <c r="V1719" s="6"/>
      <c r="W1719" s="7" t="str">
        <f t="shared" si="52"/>
        <v/>
      </c>
      <c r="X1719" s="8" t="str">
        <f t="shared" si="53"/>
        <v/>
      </c>
      <c r="AG1719" s="9"/>
      <c r="AH1719" s="10"/>
    </row>
    <row r="1720" spans="3:34" x14ac:dyDescent="0.35">
      <c r="C1720" s="5"/>
      <c r="D1720" s="5"/>
      <c r="T1720" s="6"/>
      <c r="U1720" s="6"/>
      <c r="V1720" s="6"/>
      <c r="W1720" s="7" t="str">
        <f t="shared" si="52"/>
        <v/>
      </c>
      <c r="X1720" s="8" t="str">
        <f t="shared" si="53"/>
        <v/>
      </c>
      <c r="AG1720" s="9"/>
      <c r="AH1720" s="10"/>
    </row>
    <row r="1721" spans="3:34" x14ac:dyDescent="0.35">
      <c r="C1721" s="5"/>
      <c r="D1721" s="5"/>
      <c r="T1721" s="6"/>
      <c r="U1721" s="6"/>
      <c r="V1721" s="6"/>
      <c r="W1721" s="7" t="str">
        <f t="shared" si="52"/>
        <v/>
      </c>
      <c r="X1721" s="8" t="str">
        <f t="shared" si="53"/>
        <v/>
      </c>
      <c r="AG1721" s="9"/>
      <c r="AH1721" s="10"/>
    </row>
    <row r="1722" spans="3:34" x14ac:dyDescent="0.35">
      <c r="C1722" s="5"/>
      <c r="D1722" s="5"/>
      <c r="T1722" s="6"/>
      <c r="U1722" s="6"/>
      <c r="V1722" s="6"/>
      <c r="W1722" s="7" t="str">
        <f t="shared" si="52"/>
        <v/>
      </c>
      <c r="X1722" s="8" t="str">
        <f t="shared" si="53"/>
        <v/>
      </c>
      <c r="AG1722" s="9"/>
      <c r="AH1722" s="10"/>
    </row>
    <row r="1723" spans="3:34" x14ac:dyDescent="0.35">
      <c r="C1723" s="5"/>
      <c r="D1723" s="5"/>
      <c r="T1723" s="6"/>
      <c r="U1723" s="6"/>
      <c r="V1723" s="6"/>
      <c r="W1723" s="7" t="str">
        <f t="shared" si="52"/>
        <v/>
      </c>
      <c r="X1723" s="8" t="str">
        <f t="shared" si="53"/>
        <v/>
      </c>
      <c r="AG1723" s="9"/>
      <c r="AH1723" s="10"/>
    </row>
    <row r="1724" spans="3:34" x14ac:dyDescent="0.35">
      <c r="C1724" s="5"/>
      <c r="D1724" s="5"/>
      <c r="T1724" s="6"/>
      <c r="U1724" s="6"/>
      <c r="V1724" s="6"/>
      <c r="W1724" s="7" t="str">
        <f t="shared" si="52"/>
        <v/>
      </c>
      <c r="X1724" s="8" t="str">
        <f t="shared" si="53"/>
        <v/>
      </c>
      <c r="AG1724" s="9"/>
      <c r="AH1724" s="10"/>
    </row>
    <row r="1725" spans="3:34" x14ac:dyDescent="0.35">
      <c r="C1725" s="5"/>
      <c r="D1725" s="5"/>
      <c r="T1725" s="6"/>
      <c r="U1725" s="6"/>
      <c r="V1725" s="6"/>
      <c r="W1725" s="7" t="str">
        <f t="shared" si="52"/>
        <v/>
      </c>
      <c r="X1725" s="8" t="str">
        <f t="shared" si="53"/>
        <v/>
      </c>
      <c r="AG1725" s="9"/>
      <c r="AH1725" s="10"/>
    </row>
    <row r="1726" spans="3:34" x14ac:dyDescent="0.35">
      <c r="C1726" s="5"/>
      <c r="D1726" s="5"/>
      <c r="T1726" s="6"/>
      <c r="U1726" s="6"/>
      <c r="V1726" s="6"/>
      <c r="W1726" s="7" t="str">
        <f t="shared" si="52"/>
        <v/>
      </c>
      <c r="X1726" s="8" t="str">
        <f t="shared" si="53"/>
        <v/>
      </c>
      <c r="AG1726" s="9"/>
      <c r="AH1726" s="10"/>
    </row>
    <row r="1727" spans="3:34" x14ac:dyDescent="0.35">
      <c r="C1727" s="5"/>
      <c r="D1727" s="5"/>
      <c r="T1727" s="6"/>
      <c r="U1727" s="6"/>
      <c r="V1727" s="6"/>
      <c r="W1727" s="7" t="str">
        <f t="shared" si="52"/>
        <v/>
      </c>
      <c r="X1727" s="8" t="str">
        <f t="shared" si="53"/>
        <v/>
      </c>
      <c r="AG1727" s="9"/>
      <c r="AH1727" s="10"/>
    </row>
    <row r="1728" spans="3:34" x14ac:dyDescent="0.35">
      <c r="C1728" s="5"/>
      <c r="D1728" s="5"/>
      <c r="T1728" s="6"/>
      <c r="U1728" s="6"/>
      <c r="V1728" s="6"/>
      <c r="W1728" s="7" t="str">
        <f t="shared" si="52"/>
        <v/>
      </c>
      <c r="X1728" s="8" t="str">
        <f t="shared" si="53"/>
        <v/>
      </c>
      <c r="AG1728" s="9"/>
      <c r="AH1728" s="10"/>
    </row>
    <row r="1729" spans="3:34" x14ac:dyDescent="0.35">
      <c r="C1729" s="5"/>
      <c r="D1729" s="5"/>
      <c r="T1729" s="6"/>
      <c r="U1729" s="6"/>
      <c r="V1729" s="6"/>
      <c r="W1729" s="7" t="str">
        <f t="shared" si="52"/>
        <v/>
      </c>
      <c r="X1729" s="8" t="str">
        <f t="shared" si="53"/>
        <v/>
      </c>
      <c r="AG1729" s="9"/>
      <c r="AH1729" s="10"/>
    </row>
    <row r="1730" spans="3:34" x14ac:dyDescent="0.35">
      <c r="C1730" s="5"/>
      <c r="D1730" s="5"/>
      <c r="T1730" s="6"/>
      <c r="U1730" s="6"/>
      <c r="V1730" s="6"/>
      <c r="W1730" s="7" t="str">
        <f t="shared" ref="W1730:W1793" si="54">IF($U1730&gt;0,$U1730-$V1730,"")</f>
        <v/>
      </c>
      <c r="X1730" s="8" t="str">
        <f t="shared" ref="X1730:X1793" si="55">IF($U1730&gt;0,($U1730-$V1730)/$U1730,"")</f>
        <v/>
      </c>
      <c r="AG1730" s="9"/>
      <c r="AH1730" s="10"/>
    </row>
    <row r="1731" spans="3:34" x14ac:dyDescent="0.35">
      <c r="C1731" s="5"/>
      <c r="D1731" s="5"/>
      <c r="T1731" s="6"/>
      <c r="U1731" s="6"/>
      <c r="V1731" s="6"/>
      <c r="W1731" s="7" t="str">
        <f t="shared" si="54"/>
        <v/>
      </c>
      <c r="X1731" s="8" t="str">
        <f t="shared" si="55"/>
        <v/>
      </c>
      <c r="AG1731" s="9"/>
      <c r="AH1731" s="10"/>
    </row>
    <row r="1732" spans="3:34" x14ac:dyDescent="0.35">
      <c r="C1732" s="5"/>
      <c r="D1732" s="5"/>
      <c r="T1732" s="6"/>
      <c r="U1732" s="6"/>
      <c r="V1732" s="6"/>
      <c r="W1732" s="7" t="str">
        <f t="shared" si="54"/>
        <v/>
      </c>
      <c r="X1732" s="8" t="str">
        <f t="shared" si="55"/>
        <v/>
      </c>
      <c r="AG1732" s="9"/>
      <c r="AH1732" s="10"/>
    </row>
    <row r="1733" spans="3:34" x14ac:dyDescent="0.35">
      <c r="C1733" s="5"/>
      <c r="D1733" s="5"/>
      <c r="T1733" s="6"/>
      <c r="U1733" s="6"/>
      <c r="V1733" s="6"/>
      <c r="W1733" s="7" t="str">
        <f t="shared" si="54"/>
        <v/>
      </c>
      <c r="X1733" s="8" t="str">
        <f t="shared" si="55"/>
        <v/>
      </c>
      <c r="AG1733" s="9"/>
      <c r="AH1733" s="10"/>
    </row>
    <row r="1734" spans="3:34" x14ac:dyDescent="0.35">
      <c r="C1734" s="5"/>
      <c r="D1734" s="5"/>
      <c r="T1734" s="6"/>
      <c r="U1734" s="6"/>
      <c r="V1734" s="6"/>
      <c r="W1734" s="7" t="str">
        <f t="shared" si="54"/>
        <v/>
      </c>
      <c r="X1734" s="8" t="str">
        <f t="shared" si="55"/>
        <v/>
      </c>
      <c r="AG1734" s="9"/>
      <c r="AH1734" s="10"/>
    </row>
    <row r="1735" spans="3:34" x14ac:dyDescent="0.35">
      <c r="C1735" s="5"/>
      <c r="D1735" s="5"/>
      <c r="T1735" s="6"/>
      <c r="U1735" s="6"/>
      <c r="V1735" s="6"/>
      <c r="W1735" s="7" t="str">
        <f t="shared" si="54"/>
        <v/>
      </c>
      <c r="X1735" s="8" t="str">
        <f t="shared" si="55"/>
        <v/>
      </c>
      <c r="AG1735" s="9"/>
      <c r="AH1735" s="10"/>
    </row>
    <row r="1736" spans="3:34" x14ac:dyDescent="0.35">
      <c r="C1736" s="5"/>
      <c r="D1736" s="5"/>
      <c r="T1736" s="6"/>
      <c r="U1736" s="6"/>
      <c r="V1736" s="6"/>
      <c r="W1736" s="7" t="str">
        <f t="shared" si="54"/>
        <v/>
      </c>
      <c r="X1736" s="8" t="str">
        <f t="shared" si="55"/>
        <v/>
      </c>
      <c r="AG1736" s="9"/>
      <c r="AH1736" s="10"/>
    </row>
    <row r="1737" spans="3:34" x14ac:dyDescent="0.35">
      <c r="C1737" s="5"/>
      <c r="D1737" s="5"/>
      <c r="T1737" s="6"/>
      <c r="U1737" s="6"/>
      <c r="V1737" s="6"/>
      <c r="W1737" s="7" t="str">
        <f t="shared" si="54"/>
        <v/>
      </c>
      <c r="X1737" s="8" t="str">
        <f t="shared" si="55"/>
        <v/>
      </c>
      <c r="AG1737" s="9"/>
      <c r="AH1737" s="10"/>
    </row>
    <row r="1738" spans="3:34" x14ac:dyDescent="0.35">
      <c r="C1738" s="5"/>
      <c r="D1738" s="5"/>
      <c r="T1738" s="6"/>
      <c r="U1738" s="6"/>
      <c r="V1738" s="6"/>
      <c r="W1738" s="7" t="str">
        <f t="shared" si="54"/>
        <v/>
      </c>
      <c r="X1738" s="8" t="str">
        <f t="shared" si="55"/>
        <v/>
      </c>
      <c r="AG1738" s="9"/>
      <c r="AH1738" s="10"/>
    </row>
    <row r="1739" spans="3:34" x14ac:dyDescent="0.35">
      <c r="C1739" s="5"/>
      <c r="D1739" s="5"/>
      <c r="T1739" s="6"/>
      <c r="U1739" s="6"/>
      <c r="V1739" s="6"/>
      <c r="W1739" s="7" t="str">
        <f t="shared" si="54"/>
        <v/>
      </c>
      <c r="X1739" s="8" t="str">
        <f t="shared" si="55"/>
        <v/>
      </c>
      <c r="AG1739" s="9"/>
      <c r="AH1739" s="10"/>
    </row>
    <row r="1740" spans="3:34" x14ac:dyDescent="0.35">
      <c r="C1740" s="5"/>
      <c r="D1740" s="5"/>
      <c r="T1740" s="6"/>
      <c r="U1740" s="6"/>
      <c r="V1740" s="6"/>
      <c r="W1740" s="7" t="str">
        <f t="shared" si="54"/>
        <v/>
      </c>
      <c r="X1740" s="8" t="str">
        <f t="shared" si="55"/>
        <v/>
      </c>
      <c r="AG1740" s="9"/>
      <c r="AH1740" s="10"/>
    </row>
    <row r="1741" spans="3:34" x14ac:dyDescent="0.35">
      <c r="C1741" s="5"/>
      <c r="D1741" s="5"/>
      <c r="T1741" s="6"/>
      <c r="U1741" s="6"/>
      <c r="V1741" s="6"/>
      <c r="W1741" s="7" t="str">
        <f t="shared" si="54"/>
        <v/>
      </c>
      <c r="X1741" s="8" t="str">
        <f t="shared" si="55"/>
        <v/>
      </c>
      <c r="AG1741" s="9"/>
      <c r="AH1741" s="10"/>
    </row>
    <row r="1742" spans="3:34" x14ac:dyDescent="0.35">
      <c r="C1742" s="5"/>
      <c r="D1742" s="5"/>
      <c r="T1742" s="6"/>
      <c r="U1742" s="6"/>
      <c r="V1742" s="6"/>
      <c r="W1742" s="7" t="str">
        <f t="shared" si="54"/>
        <v/>
      </c>
      <c r="X1742" s="8" t="str">
        <f t="shared" si="55"/>
        <v/>
      </c>
      <c r="AG1742" s="9"/>
      <c r="AH1742" s="10"/>
    </row>
    <row r="1743" spans="3:34" x14ac:dyDescent="0.35">
      <c r="C1743" s="5"/>
      <c r="D1743" s="5"/>
      <c r="T1743" s="6"/>
      <c r="U1743" s="6"/>
      <c r="V1743" s="6"/>
      <c r="W1743" s="7" t="str">
        <f t="shared" si="54"/>
        <v/>
      </c>
      <c r="X1743" s="8" t="str">
        <f t="shared" si="55"/>
        <v/>
      </c>
      <c r="AG1743" s="9"/>
      <c r="AH1743" s="10"/>
    </row>
    <row r="1744" spans="3:34" x14ac:dyDescent="0.35">
      <c r="C1744" s="5"/>
      <c r="D1744" s="5"/>
      <c r="T1744" s="6"/>
      <c r="U1744" s="6"/>
      <c r="V1744" s="6"/>
      <c r="W1744" s="7" t="str">
        <f t="shared" si="54"/>
        <v/>
      </c>
      <c r="X1744" s="8" t="str">
        <f t="shared" si="55"/>
        <v/>
      </c>
      <c r="AG1744" s="9"/>
      <c r="AH1744" s="10"/>
    </row>
    <row r="1745" spans="3:34" x14ac:dyDescent="0.35">
      <c r="C1745" s="5"/>
      <c r="D1745" s="5"/>
      <c r="T1745" s="6"/>
      <c r="U1745" s="6"/>
      <c r="V1745" s="6"/>
      <c r="W1745" s="7" t="str">
        <f t="shared" si="54"/>
        <v/>
      </c>
      <c r="X1745" s="8" t="str">
        <f t="shared" si="55"/>
        <v/>
      </c>
      <c r="AG1745" s="9"/>
      <c r="AH1745" s="10"/>
    </row>
    <row r="1746" spans="3:34" x14ac:dyDescent="0.35">
      <c r="C1746" s="5"/>
      <c r="D1746" s="5"/>
      <c r="T1746" s="6"/>
      <c r="U1746" s="6"/>
      <c r="V1746" s="6"/>
      <c r="W1746" s="7" t="str">
        <f t="shared" si="54"/>
        <v/>
      </c>
      <c r="X1746" s="8" t="str">
        <f t="shared" si="55"/>
        <v/>
      </c>
      <c r="AG1746" s="9"/>
      <c r="AH1746" s="10"/>
    </row>
    <row r="1747" spans="3:34" x14ac:dyDescent="0.35">
      <c r="C1747" s="5"/>
      <c r="D1747" s="5"/>
      <c r="T1747" s="6"/>
      <c r="U1747" s="6"/>
      <c r="V1747" s="6"/>
      <c r="W1747" s="7" t="str">
        <f t="shared" si="54"/>
        <v/>
      </c>
      <c r="X1747" s="8" t="str">
        <f t="shared" si="55"/>
        <v/>
      </c>
      <c r="AG1747" s="9"/>
      <c r="AH1747" s="10"/>
    </row>
    <row r="1748" spans="3:34" x14ac:dyDescent="0.35">
      <c r="C1748" s="5"/>
      <c r="D1748" s="5"/>
      <c r="T1748" s="6"/>
      <c r="U1748" s="6"/>
      <c r="V1748" s="6"/>
      <c r="W1748" s="7" t="str">
        <f t="shared" si="54"/>
        <v/>
      </c>
      <c r="X1748" s="8" t="str">
        <f t="shared" si="55"/>
        <v/>
      </c>
      <c r="AG1748" s="9"/>
      <c r="AH1748" s="10"/>
    </row>
    <row r="1749" spans="3:34" x14ac:dyDescent="0.35">
      <c r="C1749" s="5"/>
      <c r="D1749" s="5"/>
      <c r="T1749" s="6"/>
      <c r="U1749" s="6"/>
      <c r="V1749" s="6"/>
      <c r="W1749" s="7" t="str">
        <f t="shared" si="54"/>
        <v/>
      </c>
      <c r="X1749" s="8" t="str">
        <f t="shared" si="55"/>
        <v/>
      </c>
      <c r="AG1749" s="9"/>
      <c r="AH1749" s="10"/>
    </row>
    <row r="1750" spans="3:34" x14ac:dyDescent="0.35">
      <c r="C1750" s="5"/>
      <c r="D1750" s="5"/>
      <c r="T1750" s="6"/>
      <c r="U1750" s="6"/>
      <c r="V1750" s="6"/>
      <c r="W1750" s="7" t="str">
        <f t="shared" si="54"/>
        <v/>
      </c>
      <c r="X1750" s="8" t="str">
        <f t="shared" si="55"/>
        <v/>
      </c>
      <c r="AG1750" s="9"/>
      <c r="AH1750" s="10"/>
    </row>
    <row r="1751" spans="3:34" x14ac:dyDescent="0.35">
      <c r="C1751" s="5"/>
      <c r="D1751" s="5"/>
      <c r="T1751" s="6"/>
      <c r="U1751" s="6"/>
      <c r="V1751" s="6"/>
      <c r="W1751" s="7" t="str">
        <f t="shared" si="54"/>
        <v/>
      </c>
      <c r="X1751" s="8" t="str">
        <f t="shared" si="55"/>
        <v/>
      </c>
      <c r="AG1751" s="9"/>
      <c r="AH1751" s="10"/>
    </row>
    <row r="1752" spans="3:34" x14ac:dyDescent="0.35">
      <c r="C1752" s="5"/>
      <c r="D1752" s="5"/>
      <c r="T1752" s="6"/>
      <c r="U1752" s="6"/>
      <c r="V1752" s="6"/>
      <c r="W1752" s="7" t="str">
        <f t="shared" si="54"/>
        <v/>
      </c>
      <c r="X1752" s="8" t="str">
        <f t="shared" si="55"/>
        <v/>
      </c>
      <c r="AG1752" s="9"/>
      <c r="AH1752" s="10"/>
    </row>
    <row r="1753" spans="3:34" x14ac:dyDescent="0.35">
      <c r="C1753" s="5"/>
      <c r="D1753" s="5"/>
      <c r="T1753" s="6"/>
      <c r="U1753" s="6"/>
      <c r="V1753" s="6"/>
      <c r="W1753" s="7" t="str">
        <f t="shared" si="54"/>
        <v/>
      </c>
      <c r="X1753" s="8" t="str">
        <f t="shared" si="55"/>
        <v/>
      </c>
      <c r="AG1753" s="9"/>
      <c r="AH1753" s="10"/>
    </row>
    <row r="1754" spans="3:34" x14ac:dyDescent="0.35">
      <c r="C1754" s="5"/>
      <c r="D1754" s="5"/>
      <c r="T1754" s="6"/>
      <c r="U1754" s="6"/>
      <c r="V1754" s="6"/>
      <c r="W1754" s="7" t="str">
        <f t="shared" si="54"/>
        <v/>
      </c>
      <c r="X1754" s="8" t="str">
        <f t="shared" si="55"/>
        <v/>
      </c>
      <c r="AG1754" s="9"/>
      <c r="AH1754" s="10"/>
    </row>
    <row r="1755" spans="3:34" x14ac:dyDescent="0.35">
      <c r="C1755" s="5"/>
      <c r="D1755" s="5"/>
      <c r="T1755" s="6"/>
      <c r="U1755" s="6"/>
      <c r="V1755" s="6"/>
      <c r="W1755" s="7" t="str">
        <f t="shared" si="54"/>
        <v/>
      </c>
      <c r="X1755" s="8" t="str">
        <f t="shared" si="55"/>
        <v/>
      </c>
      <c r="AG1755" s="9"/>
      <c r="AH1755" s="10"/>
    </row>
    <row r="1756" spans="3:34" x14ac:dyDescent="0.35">
      <c r="C1756" s="5"/>
      <c r="D1756" s="5"/>
      <c r="T1756" s="6"/>
      <c r="U1756" s="6"/>
      <c r="V1756" s="6"/>
      <c r="W1756" s="7" t="str">
        <f t="shared" si="54"/>
        <v/>
      </c>
      <c r="X1756" s="8" t="str">
        <f t="shared" si="55"/>
        <v/>
      </c>
      <c r="AG1756" s="9"/>
      <c r="AH1756" s="10"/>
    </row>
    <row r="1757" spans="3:34" x14ac:dyDescent="0.35">
      <c r="C1757" s="5"/>
      <c r="D1757" s="5"/>
      <c r="T1757" s="6"/>
      <c r="U1757" s="6"/>
      <c r="V1757" s="6"/>
      <c r="W1757" s="7" t="str">
        <f t="shared" si="54"/>
        <v/>
      </c>
      <c r="X1757" s="8" t="str">
        <f t="shared" si="55"/>
        <v/>
      </c>
      <c r="AG1757" s="9"/>
      <c r="AH1757" s="10"/>
    </row>
    <row r="1758" spans="3:34" x14ac:dyDescent="0.35">
      <c r="C1758" s="5"/>
      <c r="D1758" s="5"/>
      <c r="T1758" s="6"/>
      <c r="U1758" s="6"/>
      <c r="V1758" s="6"/>
      <c r="W1758" s="7" t="str">
        <f t="shared" si="54"/>
        <v/>
      </c>
      <c r="X1758" s="8" t="str">
        <f t="shared" si="55"/>
        <v/>
      </c>
      <c r="AG1758" s="9"/>
      <c r="AH1758" s="10"/>
    </row>
    <row r="1759" spans="3:34" x14ac:dyDescent="0.35">
      <c r="C1759" s="5"/>
      <c r="D1759" s="5"/>
      <c r="T1759" s="6"/>
      <c r="U1759" s="6"/>
      <c r="V1759" s="6"/>
      <c r="W1759" s="7" t="str">
        <f t="shared" si="54"/>
        <v/>
      </c>
      <c r="X1759" s="8" t="str">
        <f t="shared" si="55"/>
        <v/>
      </c>
      <c r="AG1759" s="9"/>
      <c r="AH1759" s="10"/>
    </row>
    <row r="1760" spans="3:34" x14ac:dyDescent="0.35">
      <c r="C1760" s="5"/>
      <c r="D1760" s="5"/>
      <c r="T1760" s="6"/>
      <c r="U1760" s="6"/>
      <c r="V1760" s="6"/>
      <c r="W1760" s="7" t="str">
        <f t="shared" si="54"/>
        <v/>
      </c>
      <c r="X1760" s="8" t="str">
        <f t="shared" si="55"/>
        <v/>
      </c>
      <c r="AG1760" s="9"/>
      <c r="AH1760" s="10"/>
    </row>
    <row r="1761" spans="3:34" x14ac:dyDescent="0.35">
      <c r="C1761" s="5"/>
      <c r="D1761" s="5"/>
      <c r="T1761" s="6"/>
      <c r="U1761" s="6"/>
      <c r="V1761" s="6"/>
      <c r="W1761" s="7" t="str">
        <f t="shared" si="54"/>
        <v/>
      </c>
      <c r="X1761" s="8" t="str">
        <f t="shared" si="55"/>
        <v/>
      </c>
      <c r="AG1761" s="9"/>
      <c r="AH1761" s="10"/>
    </row>
    <row r="1762" spans="3:34" x14ac:dyDescent="0.35">
      <c r="C1762" s="5"/>
      <c r="D1762" s="5"/>
      <c r="T1762" s="6"/>
      <c r="U1762" s="6"/>
      <c r="V1762" s="6"/>
      <c r="W1762" s="7" t="str">
        <f t="shared" si="54"/>
        <v/>
      </c>
      <c r="X1762" s="8" t="str">
        <f t="shared" si="55"/>
        <v/>
      </c>
      <c r="AG1762" s="9"/>
      <c r="AH1762" s="10"/>
    </row>
    <row r="1763" spans="3:34" x14ac:dyDescent="0.35">
      <c r="C1763" s="5"/>
      <c r="D1763" s="5"/>
      <c r="T1763" s="6"/>
      <c r="U1763" s="6"/>
      <c r="V1763" s="6"/>
      <c r="W1763" s="7" t="str">
        <f t="shared" si="54"/>
        <v/>
      </c>
      <c r="X1763" s="8" t="str">
        <f t="shared" si="55"/>
        <v/>
      </c>
      <c r="AG1763" s="9"/>
      <c r="AH1763" s="10"/>
    </row>
    <row r="1764" spans="3:34" x14ac:dyDescent="0.35">
      <c r="C1764" s="5"/>
      <c r="D1764" s="5"/>
      <c r="T1764" s="6"/>
      <c r="U1764" s="6"/>
      <c r="V1764" s="6"/>
      <c r="W1764" s="7" t="str">
        <f t="shared" si="54"/>
        <v/>
      </c>
      <c r="X1764" s="8" t="str">
        <f t="shared" si="55"/>
        <v/>
      </c>
      <c r="AG1764" s="9"/>
      <c r="AH1764" s="10"/>
    </row>
    <row r="1765" spans="3:34" x14ac:dyDescent="0.35">
      <c r="C1765" s="5"/>
      <c r="D1765" s="5"/>
      <c r="T1765" s="6"/>
      <c r="U1765" s="6"/>
      <c r="V1765" s="6"/>
      <c r="W1765" s="7" t="str">
        <f t="shared" si="54"/>
        <v/>
      </c>
      <c r="X1765" s="8" t="str">
        <f t="shared" si="55"/>
        <v/>
      </c>
      <c r="AG1765" s="9"/>
      <c r="AH1765" s="10"/>
    </row>
    <row r="1766" spans="3:34" x14ac:dyDescent="0.35">
      <c r="C1766" s="5"/>
      <c r="D1766" s="5"/>
      <c r="T1766" s="6"/>
      <c r="U1766" s="6"/>
      <c r="V1766" s="6"/>
      <c r="W1766" s="7" t="str">
        <f t="shared" si="54"/>
        <v/>
      </c>
      <c r="X1766" s="8" t="str">
        <f t="shared" si="55"/>
        <v/>
      </c>
      <c r="AG1766" s="9"/>
      <c r="AH1766" s="10"/>
    </row>
    <row r="1767" spans="3:34" x14ac:dyDescent="0.35">
      <c r="C1767" s="5"/>
      <c r="D1767" s="5"/>
      <c r="T1767" s="6"/>
      <c r="U1767" s="6"/>
      <c r="V1767" s="6"/>
      <c r="W1767" s="7" t="str">
        <f t="shared" si="54"/>
        <v/>
      </c>
      <c r="X1767" s="8" t="str">
        <f t="shared" si="55"/>
        <v/>
      </c>
      <c r="AG1767" s="9"/>
      <c r="AH1767" s="10"/>
    </row>
    <row r="1768" spans="3:34" x14ac:dyDescent="0.35">
      <c r="C1768" s="5"/>
      <c r="D1768" s="5"/>
      <c r="T1768" s="6"/>
      <c r="U1768" s="6"/>
      <c r="V1768" s="6"/>
      <c r="W1768" s="7" t="str">
        <f t="shared" si="54"/>
        <v/>
      </c>
      <c r="X1768" s="8" t="str">
        <f t="shared" si="55"/>
        <v/>
      </c>
      <c r="AG1768" s="9"/>
      <c r="AH1768" s="10"/>
    </row>
    <row r="1769" spans="3:34" x14ac:dyDescent="0.35">
      <c r="C1769" s="5"/>
      <c r="D1769" s="5"/>
      <c r="T1769" s="6"/>
      <c r="U1769" s="6"/>
      <c r="V1769" s="6"/>
      <c r="W1769" s="7" t="str">
        <f t="shared" si="54"/>
        <v/>
      </c>
      <c r="X1769" s="8" t="str">
        <f t="shared" si="55"/>
        <v/>
      </c>
      <c r="AG1769" s="9"/>
      <c r="AH1769" s="10"/>
    </row>
    <row r="1770" spans="3:34" x14ac:dyDescent="0.35">
      <c r="C1770" s="5"/>
      <c r="D1770" s="5"/>
      <c r="T1770" s="6"/>
      <c r="U1770" s="6"/>
      <c r="V1770" s="6"/>
      <c r="W1770" s="7" t="str">
        <f t="shared" si="54"/>
        <v/>
      </c>
      <c r="X1770" s="8" t="str">
        <f t="shared" si="55"/>
        <v/>
      </c>
      <c r="AG1770" s="9"/>
      <c r="AH1770" s="10"/>
    </row>
    <row r="1771" spans="3:34" x14ac:dyDescent="0.35">
      <c r="C1771" s="5"/>
      <c r="D1771" s="5"/>
      <c r="T1771" s="6"/>
      <c r="U1771" s="6"/>
      <c r="V1771" s="6"/>
      <c r="W1771" s="7" t="str">
        <f t="shared" si="54"/>
        <v/>
      </c>
      <c r="X1771" s="8" t="str">
        <f t="shared" si="55"/>
        <v/>
      </c>
      <c r="AG1771" s="9"/>
      <c r="AH1771" s="10"/>
    </row>
    <row r="1772" spans="3:34" x14ac:dyDescent="0.35">
      <c r="C1772" s="5"/>
      <c r="D1772" s="5"/>
      <c r="T1772" s="6"/>
      <c r="U1772" s="6"/>
      <c r="V1772" s="6"/>
      <c r="W1772" s="7" t="str">
        <f t="shared" si="54"/>
        <v/>
      </c>
      <c r="X1772" s="8" t="str">
        <f t="shared" si="55"/>
        <v/>
      </c>
      <c r="AG1772" s="9"/>
      <c r="AH1772" s="10"/>
    </row>
    <row r="1773" spans="3:34" x14ac:dyDescent="0.35">
      <c r="C1773" s="5"/>
      <c r="D1773" s="5"/>
      <c r="T1773" s="6"/>
      <c r="U1773" s="6"/>
      <c r="V1773" s="6"/>
      <c r="W1773" s="7" t="str">
        <f t="shared" si="54"/>
        <v/>
      </c>
      <c r="X1773" s="8" t="str">
        <f t="shared" si="55"/>
        <v/>
      </c>
      <c r="AG1773" s="9"/>
      <c r="AH1773" s="10"/>
    </row>
    <row r="1774" spans="3:34" x14ac:dyDescent="0.35">
      <c r="C1774" s="5"/>
      <c r="D1774" s="5"/>
      <c r="T1774" s="6"/>
      <c r="U1774" s="6"/>
      <c r="V1774" s="6"/>
      <c r="W1774" s="7" t="str">
        <f t="shared" si="54"/>
        <v/>
      </c>
      <c r="X1774" s="8" t="str">
        <f t="shared" si="55"/>
        <v/>
      </c>
      <c r="AG1774" s="9"/>
      <c r="AH1774" s="10"/>
    </row>
    <row r="1775" spans="3:34" x14ac:dyDescent="0.35">
      <c r="C1775" s="5"/>
      <c r="D1775" s="5"/>
      <c r="T1775" s="6"/>
      <c r="U1775" s="6"/>
      <c r="V1775" s="6"/>
      <c r="W1775" s="7" t="str">
        <f t="shared" si="54"/>
        <v/>
      </c>
      <c r="X1775" s="8" t="str">
        <f t="shared" si="55"/>
        <v/>
      </c>
      <c r="AG1775" s="9"/>
      <c r="AH1775" s="10"/>
    </row>
    <row r="1776" spans="3:34" x14ac:dyDescent="0.35">
      <c r="C1776" s="5"/>
      <c r="D1776" s="5"/>
      <c r="T1776" s="6"/>
      <c r="U1776" s="6"/>
      <c r="V1776" s="6"/>
      <c r="W1776" s="7" t="str">
        <f t="shared" si="54"/>
        <v/>
      </c>
      <c r="X1776" s="8" t="str">
        <f t="shared" si="55"/>
        <v/>
      </c>
      <c r="AG1776" s="9"/>
      <c r="AH1776" s="10"/>
    </row>
    <row r="1777" spans="3:34" x14ac:dyDescent="0.35">
      <c r="C1777" s="5"/>
      <c r="D1777" s="5"/>
      <c r="T1777" s="6"/>
      <c r="U1777" s="6"/>
      <c r="V1777" s="6"/>
      <c r="W1777" s="7" t="str">
        <f t="shared" si="54"/>
        <v/>
      </c>
      <c r="X1777" s="8" t="str">
        <f t="shared" si="55"/>
        <v/>
      </c>
      <c r="AG1777" s="9"/>
      <c r="AH1777" s="10"/>
    </row>
    <row r="1778" spans="3:34" x14ac:dyDescent="0.35">
      <c r="C1778" s="5"/>
      <c r="D1778" s="5"/>
      <c r="T1778" s="6"/>
      <c r="U1778" s="6"/>
      <c r="V1778" s="6"/>
      <c r="W1778" s="7" t="str">
        <f t="shared" si="54"/>
        <v/>
      </c>
      <c r="X1778" s="8" t="str">
        <f t="shared" si="55"/>
        <v/>
      </c>
      <c r="AG1778" s="9"/>
      <c r="AH1778" s="10"/>
    </row>
    <row r="1779" spans="3:34" x14ac:dyDescent="0.35">
      <c r="C1779" s="5"/>
      <c r="D1779" s="5"/>
      <c r="T1779" s="6"/>
      <c r="U1779" s="6"/>
      <c r="V1779" s="6"/>
      <c r="W1779" s="7" t="str">
        <f t="shared" si="54"/>
        <v/>
      </c>
      <c r="X1779" s="8" t="str">
        <f t="shared" si="55"/>
        <v/>
      </c>
      <c r="AG1779" s="9"/>
      <c r="AH1779" s="10"/>
    </row>
    <row r="1780" spans="3:34" x14ac:dyDescent="0.35">
      <c r="C1780" s="5"/>
      <c r="D1780" s="5"/>
      <c r="T1780" s="6"/>
      <c r="U1780" s="6"/>
      <c r="V1780" s="6"/>
      <c r="W1780" s="7" t="str">
        <f t="shared" si="54"/>
        <v/>
      </c>
      <c r="X1780" s="8" t="str">
        <f t="shared" si="55"/>
        <v/>
      </c>
      <c r="AG1780" s="9"/>
      <c r="AH1780" s="10"/>
    </row>
    <row r="1781" spans="3:34" x14ac:dyDescent="0.35">
      <c r="C1781" s="5"/>
      <c r="D1781" s="5"/>
      <c r="T1781" s="6"/>
      <c r="U1781" s="6"/>
      <c r="V1781" s="6"/>
      <c r="W1781" s="7" t="str">
        <f t="shared" si="54"/>
        <v/>
      </c>
      <c r="X1781" s="8" t="str">
        <f t="shared" si="55"/>
        <v/>
      </c>
      <c r="AG1781" s="9"/>
      <c r="AH1781" s="10"/>
    </row>
    <row r="1782" spans="3:34" x14ac:dyDescent="0.35">
      <c r="C1782" s="5"/>
      <c r="D1782" s="5"/>
      <c r="T1782" s="6"/>
      <c r="U1782" s="6"/>
      <c r="V1782" s="6"/>
      <c r="W1782" s="7" t="str">
        <f t="shared" si="54"/>
        <v/>
      </c>
      <c r="X1782" s="8" t="str">
        <f t="shared" si="55"/>
        <v/>
      </c>
      <c r="AG1782" s="9"/>
      <c r="AH1782" s="10"/>
    </row>
    <row r="1783" spans="3:34" x14ac:dyDescent="0.35">
      <c r="C1783" s="5"/>
      <c r="D1783" s="5"/>
      <c r="T1783" s="6"/>
      <c r="U1783" s="6"/>
      <c r="V1783" s="6"/>
      <c r="W1783" s="7" t="str">
        <f t="shared" si="54"/>
        <v/>
      </c>
      <c r="X1783" s="8" t="str">
        <f t="shared" si="55"/>
        <v/>
      </c>
      <c r="AG1783" s="9"/>
      <c r="AH1783" s="10"/>
    </row>
    <row r="1784" spans="3:34" x14ac:dyDescent="0.35">
      <c r="C1784" s="5"/>
      <c r="D1784" s="5"/>
      <c r="T1784" s="6"/>
      <c r="U1784" s="6"/>
      <c r="V1784" s="6"/>
      <c r="W1784" s="7" t="str">
        <f t="shared" si="54"/>
        <v/>
      </c>
      <c r="X1784" s="8" t="str">
        <f t="shared" si="55"/>
        <v/>
      </c>
      <c r="AG1784" s="9"/>
      <c r="AH1784" s="10"/>
    </row>
    <row r="1785" spans="3:34" x14ac:dyDescent="0.35">
      <c r="C1785" s="5"/>
      <c r="D1785" s="5"/>
      <c r="T1785" s="6"/>
      <c r="U1785" s="6"/>
      <c r="V1785" s="6"/>
      <c r="W1785" s="7" t="str">
        <f t="shared" si="54"/>
        <v/>
      </c>
      <c r="X1785" s="8" t="str">
        <f t="shared" si="55"/>
        <v/>
      </c>
      <c r="AG1785" s="9"/>
      <c r="AH1785" s="10"/>
    </row>
    <row r="1786" spans="3:34" x14ac:dyDescent="0.35">
      <c r="C1786" s="5"/>
      <c r="D1786" s="5"/>
      <c r="T1786" s="6"/>
      <c r="U1786" s="6"/>
      <c r="V1786" s="6"/>
      <c r="W1786" s="7" t="str">
        <f t="shared" si="54"/>
        <v/>
      </c>
      <c r="X1786" s="8" t="str">
        <f t="shared" si="55"/>
        <v/>
      </c>
      <c r="AG1786" s="9"/>
      <c r="AH1786" s="10"/>
    </row>
    <row r="1787" spans="3:34" x14ac:dyDescent="0.35">
      <c r="C1787" s="5"/>
      <c r="D1787" s="5"/>
      <c r="T1787" s="6"/>
      <c r="U1787" s="6"/>
      <c r="V1787" s="6"/>
      <c r="W1787" s="7" t="str">
        <f t="shared" si="54"/>
        <v/>
      </c>
      <c r="X1787" s="8" t="str">
        <f t="shared" si="55"/>
        <v/>
      </c>
      <c r="AG1787" s="9"/>
      <c r="AH1787" s="10"/>
    </row>
    <row r="1788" spans="3:34" x14ac:dyDescent="0.35">
      <c r="C1788" s="5"/>
      <c r="D1788" s="5"/>
      <c r="T1788" s="6"/>
      <c r="U1788" s="6"/>
      <c r="V1788" s="6"/>
      <c r="W1788" s="7" t="str">
        <f t="shared" si="54"/>
        <v/>
      </c>
      <c r="X1788" s="8" t="str">
        <f t="shared" si="55"/>
        <v/>
      </c>
      <c r="AG1788" s="9"/>
      <c r="AH1788" s="10"/>
    </row>
    <row r="1789" spans="3:34" x14ac:dyDescent="0.35">
      <c r="C1789" s="5"/>
      <c r="D1789" s="5"/>
      <c r="T1789" s="6"/>
      <c r="U1789" s="6"/>
      <c r="V1789" s="6"/>
      <c r="W1789" s="7" t="str">
        <f t="shared" si="54"/>
        <v/>
      </c>
      <c r="X1789" s="8" t="str">
        <f t="shared" si="55"/>
        <v/>
      </c>
      <c r="AG1789" s="9"/>
      <c r="AH1789" s="10"/>
    </row>
    <row r="1790" spans="3:34" x14ac:dyDescent="0.35">
      <c r="C1790" s="5"/>
      <c r="D1790" s="5"/>
      <c r="T1790" s="6"/>
      <c r="U1790" s="6"/>
      <c r="V1790" s="6"/>
      <c r="W1790" s="7" t="str">
        <f t="shared" si="54"/>
        <v/>
      </c>
      <c r="X1790" s="8" t="str">
        <f t="shared" si="55"/>
        <v/>
      </c>
      <c r="AG1790" s="9"/>
      <c r="AH1790" s="10"/>
    </row>
    <row r="1791" spans="3:34" x14ac:dyDescent="0.35">
      <c r="C1791" s="5"/>
      <c r="D1791" s="5"/>
      <c r="T1791" s="6"/>
      <c r="U1791" s="6"/>
      <c r="V1791" s="6"/>
      <c r="W1791" s="7" t="str">
        <f t="shared" si="54"/>
        <v/>
      </c>
      <c r="X1791" s="8" t="str">
        <f t="shared" si="55"/>
        <v/>
      </c>
      <c r="AG1791" s="9"/>
      <c r="AH1791" s="10"/>
    </row>
    <row r="1792" spans="3:34" x14ac:dyDescent="0.35">
      <c r="C1792" s="5"/>
      <c r="D1792" s="5"/>
      <c r="T1792" s="6"/>
      <c r="U1792" s="6"/>
      <c r="V1792" s="6"/>
      <c r="W1792" s="7" t="str">
        <f t="shared" si="54"/>
        <v/>
      </c>
      <c r="X1792" s="8" t="str">
        <f t="shared" si="55"/>
        <v/>
      </c>
      <c r="AG1792" s="9"/>
      <c r="AH1792" s="10"/>
    </row>
    <row r="1793" spans="3:34" x14ac:dyDescent="0.35">
      <c r="C1793" s="5"/>
      <c r="D1793" s="5"/>
      <c r="T1793" s="6"/>
      <c r="U1793" s="6"/>
      <c r="V1793" s="6"/>
      <c r="W1793" s="7" t="str">
        <f t="shared" si="54"/>
        <v/>
      </c>
      <c r="X1793" s="8" t="str">
        <f t="shared" si="55"/>
        <v/>
      </c>
      <c r="AG1793" s="9"/>
      <c r="AH1793" s="10"/>
    </row>
    <row r="1794" spans="3:34" x14ac:dyDescent="0.35">
      <c r="C1794" s="5"/>
      <c r="D1794" s="5"/>
      <c r="T1794" s="6"/>
      <c r="U1794" s="6"/>
      <c r="V1794" s="6"/>
      <c r="W1794" s="7" t="str">
        <f t="shared" ref="W1794:W1857" si="56">IF($U1794&gt;0,$U1794-$V1794,"")</f>
        <v/>
      </c>
      <c r="X1794" s="8" t="str">
        <f t="shared" ref="X1794:X1857" si="57">IF($U1794&gt;0,($U1794-$V1794)/$U1794,"")</f>
        <v/>
      </c>
      <c r="AG1794" s="9"/>
      <c r="AH1794" s="10"/>
    </row>
    <row r="1795" spans="3:34" x14ac:dyDescent="0.35">
      <c r="C1795" s="5"/>
      <c r="D1795" s="5"/>
      <c r="T1795" s="6"/>
      <c r="U1795" s="6"/>
      <c r="V1795" s="6"/>
      <c r="W1795" s="7" t="str">
        <f t="shared" si="56"/>
        <v/>
      </c>
      <c r="X1795" s="8" t="str">
        <f t="shared" si="57"/>
        <v/>
      </c>
      <c r="AG1795" s="9"/>
      <c r="AH1795" s="10"/>
    </row>
    <row r="1796" spans="3:34" x14ac:dyDescent="0.35">
      <c r="C1796" s="5"/>
      <c r="D1796" s="5"/>
      <c r="T1796" s="6"/>
      <c r="U1796" s="6"/>
      <c r="V1796" s="6"/>
      <c r="W1796" s="7" t="str">
        <f t="shared" si="56"/>
        <v/>
      </c>
      <c r="X1796" s="8" t="str">
        <f t="shared" si="57"/>
        <v/>
      </c>
      <c r="AG1796" s="9"/>
      <c r="AH1796" s="10"/>
    </row>
    <row r="1797" spans="3:34" x14ac:dyDescent="0.35">
      <c r="C1797" s="5"/>
      <c r="D1797" s="5"/>
      <c r="T1797" s="6"/>
      <c r="U1797" s="6"/>
      <c r="V1797" s="6"/>
      <c r="W1797" s="7" t="str">
        <f t="shared" si="56"/>
        <v/>
      </c>
      <c r="X1797" s="8" t="str">
        <f t="shared" si="57"/>
        <v/>
      </c>
      <c r="AG1797" s="9"/>
      <c r="AH1797" s="10"/>
    </row>
    <row r="1798" spans="3:34" x14ac:dyDescent="0.35">
      <c r="C1798" s="5"/>
      <c r="D1798" s="5"/>
      <c r="T1798" s="6"/>
      <c r="U1798" s="6"/>
      <c r="V1798" s="6"/>
      <c r="W1798" s="7" t="str">
        <f t="shared" si="56"/>
        <v/>
      </c>
      <c r="X1798" s="8" t="str">
        <f t="shared" si="57"/>
        <v/>
      </c>
      <c r="AG1798" s="9"/>
      <c r="AH1798" s="10"/>
    </row>
    <row r="1799" spans="3:34" x14ac:dyDescent="0.35">
      <c r="C1799" s="5"/>
      <c r="D1799" s="5"/>
      <c r="T1799" s="6"/>
      <c r="U1799" s="6"/>
      <c r="V1799" s="6"/>
      <c r="W1799" s="7" t="str">
        <f t="shared" si="56"/>
        <v/>
      </c>
      <c r="X1799" s="8" t="str">
        <f t="shared" si="57"/>
        <v/>
      </c>
      <c r="AG1799" s="9"/>
      <c r="AH1799" s="10"/>
    </row>
    <row r="1800" spans="3:34" x14ac:dyDescent="0.35">
      <c r="C1800" s="5"/>
      <c r="D1800" s="5"/>
      <c r="T1800" s="6"/>
      <c r="U1800" s="6"/>
      <c r="V1800" s="6"/>
      <c r="W1800" s="7" t="str">
        <f t="shared" si="56"/>
        <v/>
      </c>
      <c r="X1800" s="8" t="str">
        <f t="shared" si="57"/>
        <v/>
      </c>
      <c r="AG1800" s="9"/>
      <c r="AH1800" s="10"/>
    </row>
    <row r="1801" spans="3:34" x14ac:dyDescent="0.35">
      <c r="C1801" s="5"/>
      <c r="D1801" s="5"/>
      <c r="T1801" s="6"/>
      <c r="U1801" s="6"/>
      <c r="V1801" s="6"/>
      <c r="W1801" s="7" t="str">
        <f t="shared" si="56"/>
        <v/>
      </c>
      <c r="X1801" s="8" t="str">
        <f t="shared" si="57"/>
        <v/>
      </c>
      <c r="AG1801" s="9"/>
      <c r="AH1801" s="10"/>
    </row>
    <row r="1802" spans="3:34" x14ac:dyDescent="0.35">
      <c r="C1802" s="5"/>
      <c r="D1802" s="5"/>
      <c r="T1802" s="6"/>
      <c r="U1802" s="6"/>
      <c r="V1802" s="6"/>
      <c r="W1802" s="7" t="str">
        <f t="shared" si="56"/>
        <v/>
      </c>
      <c r="X1802" s="8" t="str">
        <f t="shared" si="57"/>
        <v/>
      </c>
      <c r="AG1802" s="9"/>
      <c r="AH1802" s="10"/>
    </row>
    <row r="1803" spans="3:34" x14ac:dyDescent="0.35">
      <c r="C1803" s="5"/>
      <c r="D1803" s="5"/>
      <c r="T1803" s="6"/>
      <c r="U1803" s="6"/>
      <c r="V1803" s="6"/>
      <c r="W1803" s="7" t="str">
        <f t="shared" si="56"/>
        <v/>
      </c>
      <c r="X1803" s="8" t="str">
        <f t="shared" si="57"/>
        <v/>
      </c>
      <c r="AG1803" s="9"/>
      <c r="AH1803" s="10"/>
    </row>
    <row r="1804" spans="3:34" x14ac:dyDescent="0.35">
      <c r="C1804" s="5"/>
      <c r="D1804" s="5"/>
      <c r="T1804" s="6"/>
      <c r="U1804" s="6"/>
      <c r="V1804" s="6"/>
      <c r="W1804" s="7" t="str">
        <f t="shared" si="56"/>
        <v/>
      </c>
      <c r="X1804" s="8" t="str">
        <f t="shared" si="57"/>
        <v/>
      </c>
      <c r="AG1804" s="9"/>
      <c r="AH1804" s="10"/>
    </row>
    <row r="1805" spans="3:34" x14ac:dyDescent="0.35">
      <c r="C1805" s="5"/>
      <c r="D1805" s="5"/>
      <c r="T1805" s="6"/>
      <c r="U1805" s="6"/>
      <c r="V1805" s="6"/>
      <c r="W1805" s="7" t="str">
        <f t="shared" si="56"/>
        <v/>
      </c>
      <c r="X1805" s="8" t="str">
        <f t="shared" si="57"/>
        <v/>
      </c>
      <c r="AG1805" s="9"/>
      <c r="AH1805" s="10"/>
    </row>
    <row r="1806" spans="3:34" x14ac:dyDescent="0.35">
      <c r="C1806" s="5"/>
      <c r="D1806" s="5"/>
      <c r="T1806" s="6"/>
      <c r="U1806" s="6"/>
      <c r="V1806" s="6"/>
      <c r="W1806" s="7" t="str">
        <f t="shared" si="56"/>
        <v/>
      </c>
      <c r="X1806" s="8" t="str">
        <f t="shared" si="57"/>
        <v/>
      </c>
      <c r="AG1806" s="9"/>
      <c r="AH1806" s="10"/>
    </row>
    <row r="1807" spans="3:34" x14ac:dyDescent="0.35">
      <c r="C1807" s="5"/>
      <c r="D1807" s="5"/>
      <c r="T1807" s="6"/>
      <c r="U1807" s="6"/>
      <c r="V1807" s="6"/>
      <c r="W1807" s="7" t="str">
        <f t="shared" si="56"/>
        <v/>
      </c>
      <c r="X1807" s="8" t="str">
        <f t="shared" si="57"/>
        <v/>
      </c>
      <c r="AG1807" s="9"/>
      <c r="AH1807" s="10"/>
    </row>
    <row r="1808" spans="3:34" x14ac:dyDescent="0.35">
      <c r="C1808" s="5"/>
      <c r="D1808" s="5"/>
      <c r="T1808" s="6"/>
      <c r="U1808" s="6"/>
      <c r="V1808" s="6"/>
      <c r="W1808" s="7" t="str">
        <f t="shared" si="56"/>
        <v/>
      </c>
      <c r="X1808" s="8" t="str">
        <f t="shared" si="57"/>
        <v/>
      </c>
      <c r="AG1808" s="9"/>
      <c r="AH1808" s="10"/>
    </row>
    <row r="1809" spans="3:34" x14ac:dyDescent="0.35">
      <c r="C1809" s="5"/>
      <c r="D1809" s="5"/>
      <c r="T1809" s="6"/>
      <c r="U1809" s="6"/>
      <c r="V1809" s="6"/>
      <c r="W1809" s="7" t="str">
        <f t="shared" si="56"/>
        <v/>
      </c>
      <c r="X1809" s="8" t="str">
        <f t="shared" si="57"/>
        <v/>
      </c>
      <c r="AG1809" s="9"/>
      <c r="AH1809" s="10"/>
    </row>
    <row r="1810" spans="3:34" x14ac:dyDescent="0.35">
      <c r="C1810" s="5"/>
      <c r="D1810" s="5"/>
      <c r="T1810" s="6"/>
      <c r="U1810" s="6"/>
      <c r="V1810" s="6"/>
      <c r="W1810" s="7" t="str">
        <f t="shared" si="56"/>
        <v/>
      </c>
      <c r="X1810" s="8" t="str">
        <f t="shared" si="57"/>
        <v/>
      </c>
      <c r="AG1810" s="9"/>
      <c r="AH1810" s="10"/>
    </row>
    <row r="1811" spans="3:34" x14ac:dyDescent="0.35">
      <c r="C1811" s="5"/>
      <c r="D1811" s="5"/>
      <c r="T1811" s="6"/>
      <c r="U1811" s="6"/>
      <c r="V1811" s="6"/>
      <c r="W1811" s="7" t="str">
        <f t="shared" si="56"/>
        <v/>
      </c>
      <c r="X1811" s="8" t="str">
        <f t="shared" si="57"/>
        <v/>
      </c>
      <c r="AG1811" s="9"/>
      <c r="AH1811" s="10"/>
    </row>
    <row r="1812" spans="3:34" x14ac:dyDescent="0.35">
      <c r="C1812" s="5"/>
      <c r="D1812" s="5"/>
      <c r="T1812" s="6"/>
      <c r="U1812" s="6"/>
      <c r="V1812" s="6"/>
      <c r="W1812" s="7" t="str">
        <f t="shared" si="56"/>
        <v/>
      </c>
      <c r="X1812" s="8" t="str">
        <f t="shared" si="57"/>
        <v/>
      </c>
      <c r="AG1812" s="9"/>
      <c r="AH1812" s="10"/>
    </row>
    <row r="1813" spans="3:34" x14ac:dyDescent="0.35">
      <c r="C1813" s="5"/>
      <c r="D1813" s="5"/>
      <c r="T1813" s="6"/>
      <c r="U1813" s="6"/>
      <c r="V1813" s="6"/>
      <c r="W1813" s="7" t="str">
        <f t="shared" si="56"/>
        <v/>
      </c>
      <c r="X1813" s="8" t="str">
        <f t="shared" si="57"/>
        <v/>
      </c>
      <c r="AG1813" s="9"/>
      <c r="AH1813" s="10"/>
    </row>
    <row r="1814" spans="3:34" x14ac:dyDescent="0.35">
      <c r="C1814" s="5"/>
      <c r="D1814" s="5"/>
      <c r="T1814" s="6"/>
      <c r="U1814" s="6"/>
      <c r="V1814" s="6"/>
      <c r="W1814" s="7" t="str">
        <f t="shared" si="56"/>
        <v/>
      </c>
      <c r="X1814" s="8" t="str">
        <f t="shared" si="57"/>
        <v/>
      </c>
      <c r="AG1814" s="9"/>
      <c r="AH1814" s="10"/>
    </row>
    <row r="1815" spans="3:34" x14ac:dyDescent="0.35">
      <c r="C1815" s="5"/>
      <c r="D1815" s="5"/>
      <c r="T1815" s="6"/>
      <c r="U1815" s="6"/>
      <c r="V1815" s="6"/>
      <c r="W1815" s="7" t="str">
        <f t="shared" si="56"/>
        <v/>
      </c>
      <c r="X1815" s="8" t="str">
        <f t="shared" si="57"/>
        <v/>
      </c>
      <c r="AG1815" s="9"/>
      <c r="AH1815" s="10"/>
    </row>
    <row r="1816" spans="3:34" x14ac:dyDescent="0.35">
      <c r="C1816" s="5"/>
      <c r="D1816" s="5"/>
      <c r="T1816" s="6"/>
      <c r="U1816" s="6"/>
      <c r="V1816" s="6"/>
      <c r="W1816" s="7" t="str">
        <f t="shared" si="56"/>
        <v/>
      </c>
      <c r="X1816" s="8" t="str">
        <f t="shared" si="57"/>
        <v/>
      </c>
      <c r="AG1816" s="9"/>
      <c r="AH1816" s="10"/>
    </row>
    <row r="1817" spans="3:34" x14ac:dyDescent="0.35">
      <c r="C1817" s="5"/>
      <c r="D1817" s="5"/>
      <c r="T1817" s="6"/>
      <c r="U1817" s="6"/>
      <c r="V1817" s="6"/>
      <c r="W1817" s="7" t="str">
        <f t="shared" si="56"/>
        <v/>
      </c>
      <c r="X1817" s="8" t="str">
        <f t="shared" si="57"/>
        <v/>
      </c>
      <c r="AG1817" s="9"/>
      <c r="AH1817" s="10"/>
    </row>
    <row r="1818" spans="3:34" x14ac:dyDescent="0.35">
      <c r="C1818" s="5"/>
      <c r="D1818" s="5"/>
      <c r="T1818" s="6"/>
      <c r="U1818" s="6"/>
      <c r="V1818" s="6"/>
      <c r="W1818" s="7" t="str">
        <f t="shared" si="56"/>
        <v/>
      </c>
      <c r="X1818" s="8" t="str">
        <f t="shared" si="57"/>
        <v/>
      </c>
      <c r="AG1818" s="9"/>
      <c r="AH1818" s="10"/>
    </row>
    <row r="1819" spans="3:34" x14ac:dyDescent="0.35">
      <c r="C1819" s="5"/>
      <c r="D1819" s="5"/>
      <c r="T1819" s="6"/>
      <c r="U1819" s="6"/>
      <c r="V1819" s="6"/>
      <c r="W1819" s="7" t="str">
        <f t="shared" si="56"/>
        <v/>
      </c>
      <c r="X1819" s="8" t="str">
        <f t="shared" si="57"/>
        <v/>
      </c>
      <c r="AG1819" s="9"/>
      <c r="AH1819" s="10"/>
    </row>
    <row r="1820" spans="3:34" x14ac:dyDescent="0.35">
      <c r="C1820" s="5"/>
      <c r="D1820" s="5"/>
      <c r="T1820" s="6"/>
      <c r="U1820" s="6"/>
      <c r="V1820" s="6"/>
      <c r="W1820" s="7" t="str">
        <f t="shared" si="56"/>
        <v/>
      </c>
      <c r="X1820" s="8" t="str">
        <f t="shared" si="57"/>
        <v/>
      </c>
      <c r="AG1820" s="9"/>
      <c r="AH1820" s="10"/>
    </row>
    <row r="1821" spans="3:34" x14ac:dyDescent="0.35">
      <c r="C1821" s="5"/>
      <c r="D1821" s="5"/>
      <c r="T1821" s="6"/>
      <c r="U1821" s="6"/>
      <c r="V1821" s="6"/>
      <c r="W1821" s="7" t="str">
        <f t="shared" si="56"/>
        <v/>
      </c>
      <c r="X1821" s="8" t="str">
        <f t="shared" si="57"/>
        <v/>
      </c>
      <c r="AG1821" s="9"/>
      <c r="AH1821" s="10"/>
    </row>
    <row r="1822" spans="3:34" x14ac:dyDescent="0.35">
      <c r="C1822" s="5"/>
      <c r="D1822" s="5"/>
      <c r="T1822" s="6"/>
      <c r="U1822" s="6"/>
      <c r="V1822" s="6"/>
      <c r="W1822" s="7" t="str">
        <f t="shared" si="56"/>
        <v/>
      </c>
      <c r="X1822" s="8" t="str">
        <f t="shared" si="57"/>
        <v/>
      </c>
      <c r="AG1822" s="9"/>
      <c r="AH1822" s="10"/>
    </row>
    <row r="1823" spans="3:34" x14ac:dyDescent="0.35">
      <c r="C1823" s="5"/>
      <c r="D1823" s="5"/>
      <c r="T1823" s="6"/>
      <c r="U1823" s="6"/>
      <c r="V1823" s="6"/>
      <c r="W1823" s="7" t="str">
        <f t="shared" si="56"/>
        <v/>
      </c>
      <c r="X1823" s="8" t="str">
        <f t="shared" si="57"/>
        <v/>
      </c>
      <c r="AG1823" s="9"/>
      <c r="AH1823" s="10"/>
    </row>
    <row r="1824" spans="3:34" x14ac:dyDescent="0.35">
      <c r="C1824" s="5"/>
      <c r="D1824" s="5"/>
      <c r="T1824" s="6"/>
      <c r="U1824" s="6"/>
      <c r="V1824" s="6"/>
      <c r="W1824" s="7" t="str">
        <f t="shared" si="56"/>
        <v/>
      </c>
      <c r="X1824" s="8" t="str">
        <f t="shared" si="57"/>
        <v/>
      </c>
      <c r="AG1824" s="9"/>
      <c r="AH1824" s="10"/>
    </row>
    <row r="1825" spans="3:34" x14ac:dyDescent="0.35">
      <c r="C1825" s="5"/>
      <c r="D1825" s="5"/>
      <c r="T1825" s="6"/>
      <c r="U1825" s="6"/>
      <c r="V1825" s="6"/>
      <c r="W1825" s="7" t="str">
        <f t="shared" si="56"/>
        <v/>
      </c>
      <c r="X1825" s="8" t="str">
        <f t="shared" si="57"/>
        <v/>
      </c>
      <c r="AG1825" s="9"/>
      <c r="AH1825" s="10"/>
    </row>
    <row r="1826" spans="3:34" x14ac:dyDescent="0.35">
      <c r="C1826" s="5"/>
      <c r="D1826" s="5"/>
      <c r="T1826" s="6"/>
      <c r="U1826" s="6"/>
      <c r="V1826" s="6"/>
      <c r="W1826" s="7" t="str">
        <f t="shared" si="56"/>
        <v/>
      </c>
      <c r="X1826" s="8" t="str">
        <f t="shared" si="57"/>
        <v/>
      </c>
      <c r="AG1826" s="9"/>
      <c r="AH1826" s="10"/>
    </row>
    <row r="1827" spans="3:34" x14ac:dyDescent="0.35">
      <c r="C1827" s="5"/>
      <c r="D1827" s="5"/>
      <c r="T1827" s="6"/>
      <c r="U1827" s="6"/>
      <c r="V1827" s="6"/>
      <c r="W1827" s="7" t="str">
        <f t="shared" si="56"/>
        <v/>
      </c>
      <c r="X1827" s="8" t="str">
        <f t="shared" si="57"/>
        <v/>
      </c>
      <c r="AG1827" s="9"/>
      <c r="AH1827" s="10"/>
    </row>
    <row r="1828" spans="3:34" x14ac:dyDescent="0.35">
      <c r="C1828" s="5"/>
      <c r="D1828" s="5"/>
      <c r="T1828" s="6"/>
      <c r="U1828" s="6"/>
      <c r="V1828" s="6"/>
      <c r="W1828" s="7" t="str">
        <f t="shared" si="56"/>
        <v/>
      </c>
      <c r="X1828" s="8" t="str">
        <f t="shared" si="57"/>
        <v/>
      </c>
      <c r="AG1828" s="9"/>
      <c r="AH1828" s="10"/>
    </row>
    <row r="1829" spans="3:34" x14ac:dyDescent="0.35">
      <c r="C1829" s="5"/>
      <c r="D1829" s="5"/>
      <c r="T1829" s="6"/>
      <c r="U1829" s="6"/>
      <c r="V1829" s="6"/>
      <c r="W1829" s="7" t="str">
        <f t="shared" si="56"/>
        <v/>
      </c>
      <c r="X1829" s="8" t="str">
        <f t="shared" si="57"/>
        <v/>
      </c>
      <c r="AG1829" s="9"/>
      <c r="AH1829" s="10"/>
    </row>
    <row r="1830" spans="3:34" x14ac:dyDescent="0.35">
      <c r="C1830" s="5"/>
      <c r="D1830" s="5"/>
      <c r="T1830" s="6"/>
      <c r="U1830" s="6"/>
      <c r="V1830" s="6"/>
      <c r="W1830" s="7" t="str">
        <f t="shared" si="56"/>
        <v/>
      </c>
      <c r="X1830" s="8" t="str">
        <f t="shared" si="57"/>
        <v/>
      </c>
      <c r="AG1830" s="9"/>
      <c r="AH1830" s="10"/>
    </row>
    <row r="1831" spans="3:34" x14ac:dyDescent="0.35">
      <c r="C1831" s="5"/>
      <c r="D1831" s="5"/>
      <c r="T1831" s="6"/>
      <c r="U1831" s="6"/>
      <c r="V1831" s="6"/>
      <c r="W1831" s="7" t="str">
        <f t="shared" si="56"/>
        <v/>
      </c>
      <c r="X1831" s="8" t="str">
        <f t="shared" si="57"/>
        <v/>
      </c>
      <c r="AG1831" s="9"/>
      <c r="AH1831" s="10"/>
    </row>
    <row r="1832" spans="3:34" x14ac:dyDescent="0.35">
      <c r="C1832" s="5"/>
      <c r="D1832" s="5"/>
      <c r="T1832" s="6"/>
      <c r="U1832" s="6"/>
      <c r="V1832" s="6"/>
      <c r="W1832" s="7" t="str">
        <f t="shared" si="56"/>
        <v/>
      </c>
      <c r="X1832" s="8" t="str">
        <f t="shared" si="57"/>
        <v/>
      </c>
      <c r="AG1832" s="9"/>
      <c r="AH1832" s="10"/>
    </row>
    <row r="1833" spans="3:34" x14ac:dyDescent="0.35">
      <c r="C1833" s="5"/>
      <c r="D1833" s="5"/>
      <c r="T1833" s="6"/>
      <c r="U1833" s="6"/>
      <c r="V1833" s="6"/>
      <c r="W1833" s="7" t="str">
        <f t="shared" si="56"/>
        <v/>
      </c>
      <c r="X1833" s="8" t="str">
        <f t="shared" si="57"/>
        <v/>
      </c>
      <c r="AG1833" s="9"/>
      <c r="AH1833" s="10"/>
    </row>
    <row r="1834" spans="3:34" x14ac:dyDescent="0.35">
      <c r="C1834" s="5"/>
      <c r="D1834" s="5"/>
      <c r="T1834" s="6"/>
      <c r="U1834" s="6"/>
      <c r="V1834" s="6"/>
      <c r="W1834" s="7" t="str">
        <f t="shared" si="56"/>
        <v/>
      </c>
      <c r="X1834" s="8" t="str">
        <f t="shared" si="57"/>
        <v/>
      </c>
      <c r="AG1834" s="9"/>
      <c r="AH1834" s="10"/>
    </row>
    <row r="1835" spans="3:34" x14ac:dyDescent="0.35">
      <c r="C1835" s="5"/>
      <c r="D1835" s="5"/>
      <c r="T1835" s="6"/>
      <c r="U1835" s="6"/>
      <c r="V1835" s="6"/>
      <c r="W1835" s="7" t="str">
        <f t="shared" si="56"/>
        <v/>
      </c>
      <c r="X1835" s="8" t="str">
        <f t="shared" si="57"/>
        <v/>
      </c>
      <c r="AG1835" s="9"/>
      <c r="AH1835" s="10"/>
    </row>
    <row r="1836" spans="3:34" x14ac:dyDescent="0.35">
      <c r="C1836" s="5"/>
      <c r="D1836" s="5"/>
      <c r="T1836" s="6"/>
      <c r="U1836" s="6"/>
      <c r="V1836" s="6"/>
      <c r="W1836" s="7" t="str">
        <f t="shared" si="56"/>
        <v/>
      </c>
      <c r="X1836" s="8" t="str">
        <f t="shared" si="57"/>
        <v/>
      </c>
      <c r="AG1836" s="9"/>
      <c r="AH1836" s="10"/>
    </row>
    <row r="1837" spans="3:34" x14ac:dyDescent="0.35">
      <c r="C1837" s="5"/>
      <c r="D1837" s="5"/>
      <c r="T1837" s="6"/>
      <c r="U1837" s="6"/>
      <c r="V1837" s="6"/>
      <c r="W1837" s="7" t="str">
        <f t="shared" si="56"/>
        <v/>
      </c>
      <c r="X1837" s="8" t="str">
        <f t="shared" si="57"/>
        <v/>
      </c>
      <c r="AG1837" s="9"/>
      <c r="AH1837" s="10"/>
    </row>
    <row r="1838" spans="3:34" x14ac:dyDescent="0.35">
      <c r="C1838" s="5"/>
      <c r="D1838" s="5"/>
      <c r="T1838" s="6"/>
      <c r="U1838" s="6"/>
      <c r="V1838" s="6"/>
      <c r="W1838" s="7" t="str">
        <f t="shared" si="56"/>
        <v/>
      </c>
      <c r="X1838" s="8" t="str">
        <f t="shared" si="57"/>
        <v/>
      </c>
      <c r="AG1838" s="9"/>
      <c r="AH1838" s="10"/>
    </row>
    <row r="1839" spans="3:34" x14ac:dyDescent="0.35">
      <c r="C1839" s="5"/>
      <c r="D1839" s="5"/>
      <c r="T1839" s="6"/>
      <c r="U1839" s="6"/>
      <c r="V1839" s="6"/>
      <c r="W1839" s="7" t="str">
        <f t="shared" si="56"/>
        <v/>
      </c>
      <c r="X1839" s="8" t="str">
        <f t="shared" si="57"/>
        <v/>
      </c>
      <c r="AG1839" s="9"/>
      <c r="AH1839" s="10"/>
    </row>
    <row r="1840" spans="3:34" x14ac:dyDescent="0.35">
      <c r="C1840" s="5"/>
      <c r="D1840" s="5"/>
      <c r="T1840" s="6"/>
      <c r="U1840" s="6"/>
      <c r="V1840" s="6"/>
      <c r="W1840" s="7" t="str">
        <f t="shared" si="56"/>
        <v/>
      </c>
      <c r="X1840" s="8" t="str">
        <f t="shared" si="57"/>
        <v/>
      </c>
      <c r="AG1840" s="9"/>
      <c r="AH1840" s="10"/>
    </row>
    <row r="1841" spans="3:34" x14ac:dyDescent="0.35">
      <c r="C1841" s="5"/>
      <c r="D1841" s="5"/>
      <c r="T1841" s="6"/>
      <c r="U1841" s="6"/>
      <c r="V1841" s="6"/>
      <c r="W1841" s="7" t="str">
        <f t="shared" si="56"/>
        <v/>
      </c>
      <c r="X1841" s="8" t="str">
        <f t="shared" si="57"/>
        <v/>
      </c>
      <c r="AG1841" s="9"/>
      <c r="AH1841" s="10"/>
    </row>
    <row r="1842" spans="3:34" x14ac:dyDescent="0.35">
      <c r="C1842" s="5"/>
      <c r="D1842" s="5"/>
      <c r="T1842" s="6"/>
      <c r="U1842" s="6"/>
      <c r="V1842" s="6"/>
      <c r="W1842" s="7" t="str">
        <f t="shared" si="56"/>
        <v/>
      </c>
      <c r="X1842" s="8" t="str">
        <f t="shared" si="57"/>
        <v/>
      </c>
      <c r="AG1842" s="9"/>
      <c r="AH1842" s="10"/>
    </row>
    <row r="1843" spans="3:34" x14ac:dyDescent="0.35">
      <c r="C1843" s="5"/>
      <c r="D1843" s="5"/>
      <c r="T1843" s="6"/>
      <c r="U1843" s="6"/>
      <c r="V1843" s="6"/>
      <c r="W1843" s="7" t="str">
        <f t="shared" si="56"/>
        <v/>
      </c>
      <c r="X1843" s="8" t="str">
        <f t="shared" si="57"/>
        <v/>
      </c>
      <c r="AG1843" s="9"/>
      <c r="AH1843" s="10"/>
    </row>
    <row r="1844" spans="3:34" x14ac:dyDescent="0.35">
      <c r="C1844" s="5"/>
      <c r="D1844" s="5"/>
      <c r="T1844" s="6"/>
      <c r="U1844" s="6"/>
      <c r="V1844" s="6"/>
      <c r="W1844" s="7" t="str">
        <f t="shared" si="56"/>
        <v/>
      </c>
      <c r="X1844" s="8" t="str">
        <f t="shared" si="57"/>
        <v/>
      </c>
      <c r="AG1844" s="9"/>
      <c r="AH1844" s="10"/>
    </row>
    <row r="1845" spans="3:34" x14ac:dyDescent="0.35">
      <c r="C1845" s="5"/>
      <c r="D1845" s="5"/>
      <c r="T1845" s="6"/>
      <c r="U1845" s="6"/>
      <c r="V1845" s="6"/>
      <c r="W1845" s="7" t="str">
        <f t="shared" si="56"/>
        <v/>
      </c>
      <c r="X1845" s="8" t="str">
        <f t="shared" si="57"/>
        <v/>
      </c>
      <c r="AG1845" s="9"/>
      <c r="AH1845" s="10"/>
    </row>
    <row r="1846" spans="3:34" x14ac:dyDescent="0.35">
      <c r="C1846" s="5"/>
      <c r="D1846" s="5"/>
      <c r="T1846" s="6"/>
      <c r="U1846" s="6"/>
      <c r="V1846" s="6"/>
      <c r="W1846" s="7" t="str">
        <f t="shared" si="56"/>
        <v/>
      </c>
      <c r="X1846" s="8" t="str">
        <f t="shared" si="57"/>
        <v/>
      </c>
      <c r="AG1846" s="9"/>
      <c r="AH1846" s="10"/>
    </row>
    <row r="1847" spans="3:34" x14ac:dyDescent="0.35">
      <c r="C1847" s="5"/>
      <c r="D1847" s="5"/>
      <c r="T1847" s="6"/>
      <c r="U1847" s="6"/>
      <c r="V1847" s="6"/>
      <c r="W1847" s="7" t="str">
        <f t="shared" si="56"/>
        <v/>
      </c>
      <c r="X1847" s="8" t="str">
        <f t="shared" si="57"/>
        <v/>
      </c>
      <c r="AG1847" s="9"/>
      <c r="AH1847" s="10"/>
    </row>
    <row r="1848" spans="3:34" x14ac:dyDescent="0.35">
      <c r="C1848" s="5"/>
      <c r="D1848" s="5"/>
      <c r="T1848" s="6"/>
      <c r="U1848" s="6"/>
      <c r="V1848" s="6"/>
      <c r="W1848" s="7" t="str">
        <f t="shared" si="56"/>
        <v/>
      </c>
      <c r="X1848" s="8" t="str">
        <f t="shared" si="57"/>
        <v/>
      </c>
      <c r="AG1848" s="9"/>
      <c r="AH1848" s="10"/>
    </row>
    <row r="1849" spans="3:34" x14ac:dyDescent="0.35">
      <c r="C1849" s="5"/>
      <c r="D1849" s="5"/>
      <c r="T1849" s="6"/>
      <c r="U1849" s="6"/>
      <c r="V1849" s="6"/>
      <c r="W1849" s="7" t="str">
        <f t="shared" si="56"/>
        <v/>
      </c>
      <c r="X1849" s="8" t="str">
        <f t="shared" si="57"/>
        <v/>
      </c>
      <c r="AG1849" s="9"/>
      <c r="AH1849" s="10"/>
    </row>
    <row r="1850" spans="3:34" x14ac:dyDescent="0.35">
      <c r="C1850" s="5"/>
      <c r="D1850" s="5"/>
      <c r="T1850" s="6"/>
      <c r="U1850" s="6"/>
      <c r="V1850" s="6"/>
      <c r="W1850" s="7" t="str">
        <f t="shared" si="56"/>
        <v/>
      </c>
      <c r="X1850" s="8" t="str">
        <f t="shared" si="57"/>
        <v/>
      </c>
      <c r="AG1850" s="9"/>
      <c r="AH1850" s="10"/>
    </row>
    <row r="1851" spans="3:34" x14ac:dyDescent="0.35">
      <c r="C1851" s="5"/>
      <c r="D1851" s="5"/>
      <c r="T1851" s="6"/>
      <c r="U1851" s="6"/>
      <c r="V1851" s="6"/>
      <c r="W1851" s="7" t="str">
        <f t="shared" si="56"/>
        <v/>
      </c>
      <c r="X1851" s="8" t="str">
        <f t="shared" si="57"/>
        <v/>
      </c>
      <c r="AG1851" s="9"/>
      <c r="AH1851" s="10"/>
    </row>
    <row r="1852" spans="3:34" x14ac:dyDescent="0.35">
      <c r="C1852" s="5"/>
      <c r="D1852" s="5"/>
      <c r="T1852" s="6"/>
      <c r="U1852" s="6"/>
      <c r="V1852" s="6"/>
      <c r="W1852" s="7" t="str">
        <f t="shared" si="56"/>
        <v/>
      </c>
      <c r="X1852" s="8" t="str">
        <f t="shared" si="57"/>
        <v/>
      </c>
      <c r="AG1852" s="9"/>
      <c r="AH1852" s="10"/>
    </row>
    <row r="1853" spans="3:34" x14ac:dyDescent="0.35">
      <c r="C1853" s="5"/>
      <c r="D1853" s="5"/>
      <c r="T1853" s="6"/>
      <c r="U1853" s="6"/>
      <c r="V1853" s="6"/>
      <c r="W1853" s="7" t="str">
        <f t="shared" si="56"/>
        <v/>
      </c>
      <c r="X1853" s="8" t="str">
        <f t="shared" si="57"/>
        <v/>
      </c>
      <c r="AG1853" s="9"/>
      <c r="AH1853" s="10"/>
    </row>
    <row r="1854" spans="3:34" x14ac:dyDescent="0.35">
      <c r="C1854" s="5"/>
      <c r="D1854" s="5"/>
      <c r="T1854" s="6"/>
      <c r="U1854" s="6"/>
      <c r="V1854" s="6"/>
      <c r="W1854" s="7" t="str">
        <f t="shared" si="56"/>
        <v/>
      </c>
      <c r="X1854" s="8" t="str">
        <f t="shared" si="57"/>
        <v/>
      </c>
      <c r="AG1854" s="9"/>
      <c r="AH1854" s="10"/>
    </row>
    <row r="1855" spans="3:34" x14ac:dyDescent="0.35">
      <c r="C1855" s="5"/>
      <c r="D1855" s="5"/>
      <c r="T1855" s="6"/>
      <c r="U1855" s="6"/>
      <c r="V1855" s="6"/>
      <c r="W1855" s="7" t="str">
        <f t="shared" si="56"/>
        <v/>
      </c>
      <c r="X1855" s="8" t="str">
        <f t="shared" si="57"/>
        <v/>
      </c>
      <c r="AG1855" s="9"/>
      <c r="AH1855" s="10"/>
    </row>
    <row r="1856" spans="3:34" x14ac:dyDescent="0.35">
      <c r="C1856" s="5"/>
      <c r="D1856" s="5"/>
      <c r="T1856" s="6"/>
      <c r="U1856" s="6"/>
      <c r="V1856" s="6"/>
      <c r="W1856" s="7" t="str">
        <f t="shared" si="56"/>
        <v/>
      </c>
      <c r="X1856" s="8" t="str">
        <f t="shared" si="57"/>
        <v/>
      </c>
      <c r="AG1856" s="9"/>
      <c r="AH1856" s="10"/>
    </row>
    <row r="1857" spans="3:34" x14ac:dyDescent="0.35">
      <c r="C1857" s="5"/>
      <c r="D1857" s="5"/>
      <c r="T1857" s="6"/>
      <c r="U1857" s="6"/>
      <c r="V1857" s="6"/>
      <c r="W1857" s="7" t="str">
        <f t="shared" si="56"/>
        <v/>
      </c>
      <c r="X1857" s="8" t="str">
        <f t="shared" si="57"/>
        <v/>
      </c>
      <c r="AG1857" s="9"/>
      <c r="AH1857" s="10"/>
    </row>
    <row r="1858" spans="3:34" x14ac:dyDescent="0.35">
      <c r="C1858" s="5"/>
      <c r="D1858" s="5"/>
      <c r="T1858" s="6"/>
      <c r="U1858" s="6"/>
      <c r="V1858" s="6"/>
      <c r="W1858" s="7" t="str">
        <f t="shared" ref="W1858:W1921" si="58">IF($U1858&gt;0,$U1858-$V1858,"")</f>
        <v/>
      </c>
      <c r="X1858" s="8" t="str">
        <f t="shared" ref="X1858:X1921" si="59">IF($U1858&gt;0,($U1858-$V1858)/$U1858,"")</f>
        <v/>
      </c>
      <c r="AG1858" s="9"/>
      <c r="AH1858" s="10"/>
    </row>
    <row r="1859" spans="3:34" x14ac:dyDescent="0.35">
      <c r="C1859" s="5"/>
      <c r="D1859" s="5"/>
      <c r="T1859" s="6"/>
      <c r="U1859" s="6"/>
      <c r="V1859" s="6"/>
      <c r="W1859" s="7" t="str">
        <f t="shared" si="58"/>
        <v/>
      </c>
      <c r="X1859" s="8" t="str">
        <f t="shared" si="59"/>
        <v/>
      </c>
      <c r="AG1859" s="9"/>
      <c r="AH1859" s="10"/>
    </row>
    <row r="1860" spans="3:34" x14ac:dyDescent="0.35">
      <c r="C1860" s="5"/>
      <c r="D1860" s="5"/>
      <c r="T1860" s="6"/>
      <c r="U1860" s="6"/>
      <c r="V1860" s="6"/>
      <c r="W1860" s="7" t="str">
        <f t="shared" si="58"/>
        <v/>
      </c>
      <c r="X1860" s="8" t="str">
        <f t="shared" si="59"/>
        <v/>
      </c>
      <c r="AG1860" s="9"/>
      <c r="AH1860" s="10"/>
    </row>
    <row r="1861" spans="3:34" x14ac:dyDescent="0.35">
      <c r="C1861" s="5"/>
      <c r="D1861" s="5"/>
      <c r="T1861" s="6"/>
      <c r="U1861" s="6"/>
      <c r="V1861" s="6"/>
      <c r="W1861" s="7" t="str">
        <f t="shared" si="58"/>
        <v/>
      </c>
      <c r="X1861" s="8" t="str">
        <f t="shared" si="59"/>
        <v/>
      </c>
      <c r="AG1861" s="9"/>
      <c r="AH1861" s="10"/>
    </row>
    <row r="1862" spans="3:34" x14ac:dyDescent="0.35">
      <c r="C1862" s="5"/>
      <c r="D1862" s="5"/>
      <c r="T1862" s="6"/>
      <c r="U1862" s="6"/>
      <c r="V1862" s="6"/>
      <c r="W1862" s="7" t="str">
        <f t="shared" si="58"/>
        <v/>
      </c>
      <c r="X1862" s="8" t="str">
        <f t="shared" si="59"/>
        <v/>
      </c>
      <c r="AG1862" s="9"/>
      <c r="AH1862" s="10"/>
    </row>
    <row r="1863" spans="3:34" x14ac:dyDescent="0.35">
      <c r="C1863" s="5"/>
      <c r="D1863" s="5"/>
      <c r="T1863" s="6"/>
      <c r="U1863" s="6"/>
      <c r="V1863" s="6"/>
      <c r="W1863" s="7" t="str">
        <f t="shared" si="58"/>
        <v/>
      </c>
      <c r="X1863" s="8" t="str">
        <f t="shared" si="59"/>
        <v/>
      </c>
      <c r="AG1863" s="9"/>
      <c r="AH1863" s="10"/>
    </row>
    <row r="1864" spans="3:34" x14ac:dyDescent="0.35">
      <c r="C1864" s="5"/>
      <c r="D1864" s="5"/>
      <c r="T1864" s="6"/>
      <c r="U1864" s="6"/>
      <c r="V1864" s="6"/>
      <c r="W1864" s="7" t="str">
        <f t="shared" si="58"/>
        <v/>
      </c>
      <c r="X1864" s="8" t="str">
        <f t="shared" si="59"/>
        <v/>
      </c>
      <c r="AG1864" s="9"/>
      <c r="AH1864" s="10"/>
    </row>
    <row r="1865" spans="3:34" x14ac:dyDescent="0.35">
      <c r="C1865" s="5"/>
      <c r="D1865" s="5"/>
      <c r="T1865" s="6"/>
      <c r="U1865" s="6"/>
      <c r="V1865" s="6"/>
      <c r="W1865" s="7" t="str">
        <f t="shared" si="58"/>
        <v/>
      </c>
      <c r="X1865" s="8" t="str">
        <f t="shared" si="59"/>
        <v/>
      </c>
      <c r="AG1865" s="9"/>
      <c r="AH1865" s="10"/>
    </row>
    <row r="1866" spans="3:34" x14ac:dyDescent="0.35">
      <c r="C1866" s="5"/>
      <c r="D1866" s="5"/>
      <c r="T1866" s="6"/>
      <c r="U1866" s="6"/>
      <c r="V1866" s="6"/>
      <c r="W1866" s="7" t="str">
        <f t="shared" si="58"/>
        <v/>
      </c>
      <c r="X1866" s="8" t="str">
        <f t="shared" si="59"/>
        <v/>
      </c>
      <c r="AG1866" s="9"/>
      <c r="AH1866" s="10"/>
    </row>
    <row r="1867" spans="3:34" x14ac:dyDescent="0.35">
      <c r="C1867" s="5"/>
      <c r="D1867" s="5"/>
      <c r="T1867" s="6"/>
      <c r="U1867" s="6"/>
      <c r="V1867" s="6"/>
      <c r="W1867" s="7" t="str">
        <f t="shared" si="58"/>
        <v/>
      </c>
      <c r="X1867" s="8" t="str">
        <f t="shared" si="59"/>
        <v/>
      </c>
      <c r="AG1867" s="9"/>
      <c r="AH1867" s="10"/>
    </row>
    <row r="1868" spans="3:34" x14ac:dyDescent="0.35">
      <c r="C1868" s="5"/>
      <c r="D1868" s="5"/>
      <c r="T1868" s="6"/>
      <c r="U1868" s="6"/>
      <c r="V1868" s="6"/>
      <c r="W1868" s="7" t="str">
        <f t="shared" si="58"/>
        <v/>
      </c>
      <c r="X1868" s="8" t="str">
        <f t="shared" si="59"/>
        <v/>
      </c>
      <c r="AG1868" s="9"/>
      <c r="AH1868" s="10"/>
    </row>
    <row r="1869" spans="3:34" x14ac:dyDescent="0.35">
      <c r="C1869" s="5"/>
      <c r="D1869" s="5"/>
      <c r="T1869" s="6"/>
      <c r="U1869" s="6"/>
      <c r="V1869" s="6"/>
      <c r="W1869" s="7" t="str">
        <f t="shared" si="58"/>
        <v/>
      </c>
      <c r="X1869" s="8" t="str">
        <f t="shared" si="59"/>
        <v/>
      </c>
      <c r="AG1869" s="9"/>
      <c r="AH1869" s="10"/>
    </row>
    <row r="1870" spans="3:34" x14ac:dyDescent="0.35">
      <c r="C1870" s="5"/>
      <c r="D1870" s="5"/>
      <c r="T1870" s="6"/>
      <c r="U1870" s="6"/>
      <c r="V1870" s="6"/>
      <c r="W1870" s="7" t="str">
        <f t="shared" si="58"/>
        <v/>
      </c>
      <c r="X1870" s="8" t="str">
        <f t="shared" si="59"/>
        <v/>
      </c>
      <c r="AG1870" s="9"/>
      <c r="AH1870" s="10"/>
    </row>
    <row r="1871" spans="3:34" x14ac:dyDescent="0.35">
      <c r="C1871" s="5"/>
      <c r="D1871" s="5"/>
      <c r="T1871" s="6"/>
      <c r="U1871" s="6"/>
      <c r="V1871" s="6"/>
      <c r="W1871" s="7" t="str">
        <f t="shared" si="58"/>
        <v/>
      </c>
      <c r="X1871" s="8" t="str">
        <f t="shared" si="59"/>
        <v/>
      </c>
      <c r="AG1871" s="9"/>
      <c r="AH1871" s="10"/>
    </row>
    <row r="1872" spans="3:34" x14ac:dyDescent="0.35">
      <c r="C1872" s="5"/>
      <c r="D1872" s="5"/>
      <c r="T1872" s="6"/>
      <c r="U1872" s="6"/>
      <c r="V1872" s="6"/>
      <c r="W1872" s="7" t="str">
        <f t="shared" si="58"/>
        <v/>
      </c>
      <c r="X1872" s="8" t="str">
        <f t="shared" si="59"/>
        <v/>
      </c>
      <c r="AG1872" s="9"/>
      <c r="AH1872" s="10"/>
    </row>
    <row r="1873" spans="3:34" x14ac:dyDescent="0.35">
      <c r="C1873" s="5"/>
      <c r="D1873" s="5"/>
      <c r="T1873" s="6"/>
      <c r="U1873" s="6"/>
      <c r="V1873" s="6"/>
      <c r="W1873" s="7" t="str">
        <f t="shared" si="58"/>
        <v/>
      </c>
      <c r="X1873" s="8" t="str">
        <f t="shared" si="59"/>
        <v/>
      </c>
      <c r="AG1873" s="9"/>
      <c r="AH1873" s="10"/>
    </row>
    <row r="1874" spans="3:34" x14ac:dyDescent="0.35">
      <c r="C1874" s="5"/>
      <c r="D1874" s="5"/>
      <c r="T1874" s="6"/>
      <c r="U1874" s="6"/>
      <c r="V1874" s="6"/>
      <c r="W1874" s="7" t="str">
        <f t="shared" si="58"/>
        <v/>
      </c>
      <c r="X1874" s="8" t="str">
        <f t="shared" si="59"/>
        <v/>
      </c>
      <c r="AG1874" s="9"/>
      <c r="AH1874" s="10"/>
    </row>
    <row r="1875" spans="3:34" x14ac:dyDescent="0.35">
      <c r="C1875" s="5"/>
      <c r="D1875" s="5"/>
      <c r="T1875" s="6"/>
      <c r="U1875" s="6"/>
      <c r="V1875" s="6"/>
      <c r="W1875" s="7" t="str">
        <f t="shared" si="58"/>
        <v/>
      </c>
      <c r="X1875" s="8" t="str">
        <f t="shared" si="59"/>
        <v/>
      </c>
      <c r="AG1875" s="9"/>
      <c r="AH1875" s="10"/>
    </row>
    <row r="1876" spans="3:34" x14ac:dyDescent="0.35">
      <c r="C1876" s="5"/>
      <c r="D1876" s="5"/>
      <c r="T1876" s="6"/>
      <c r="U1876" s="6"/>
      <c r="V1876" s="6"/>
      <c r="W1876" s="7" t="str">
        <f t="shared" si="58"/>
        <v/>
      </c>
      <c r="X1876" s="8" t="str">
        <f t="shared" si="59"/>
        <v/>
      </c>
      <c r="AG1876" s="9"/>
      <c r="AH1876" s="10"/>
    </row>
    <row r="1877" spans="3:34" x14ac:dyDescent="0.35">
      <c r="C1877" s="5"/>
      <c r="D1877" s="5"/>
      <c r="T1877" s="6"/>
      <c r="U1877" s="6"/>
      <c r="V1877" s="6"/>
      <c r="W1877" s="7" t="str">
        <f t="shared" si="58"/>
        <v/>
      </c>
      <c r="X1877" s="8" t="str">
        <f t="shared" si="59"/>
        <v/>
      </c>
      <c r="AG1877" s="9"/>
      <c r="AH1877" s="10"/>
    </row>
    <row r="1878" spans="3:34" x14ac:dyDescent="0.35">
      <c r="C1878" s="5"/>
      <c r="D1878" s="5"/>
      <c r="T1878" s="6"/>
      <c r="U1878" s="6"/>
      <c r="V1878" s="6"/>
      <c r="W1878" s="7" t="str">
        <f t="shared" si="58"/>
        <v/>
      </c>
      <c r="X1878" s="8" t="str">
        <f t="shared" si="59"/>
        <v/>
      </c>
      <c r="AG1878" s="9"/>
      <c r="AH1878" s="10"/>
    </row>
    <row r="1879" spans="3:34" x14ac:dyDescent="0.35">
      <c r="C1879" s="5"/>
      <c r="D1879" s="5"/>
      <c r="T1879" s="6"/>
      <c r="U1879" s="6"/>
      <c r="V1879" s="6"/>
      <c r="W1879" s="7" t="str">
        <f t="shared" si="58"/>
        <v/>
      </c>
      <c r="X1879" s="8" t="str">
        <f t="shared" si="59"/>
        <v/>
      </c>
      <c r="AG1879" s="9"/>
      <c r="AH1879" s="10"/>
    </row>
    <row r="1880" spans="3:34" x14ac:dyDescent="0.35">
      <c r="C1880" s="5"/>
      <c r="D1880" s="5"/>
      <c r="T1880" s="6"/>
      <c r="U1880" s="6"/>
      <c r="V1880" s="6"/>
      <c r="W1880" s="7" t="str">
        <f t="shared" si="58"/>
        <v/>
      </c>
      <c r="X1880" s="8" t="str">
        <f t="shared" si="59"/>
        <v/>
      </c>
      <c r="AG1880" s="9"/>
      <c r="AH1880" s="10"/>
    </row>
    <row r="1881" spans="3:34" x14ac:dyDescent="0.35">
      <c r="C1881" s="5"/>
      <c r="D1881" s="5"/>
      <c r="T1881" s="6"/>
      <c r="U1881" s="6"/>
      <c r="V1881" s="6"/>
      <c r="W1881" s="7" t="str">
        <f t="shared" si="58"/>
        <v/>
      </c>
      <c r="X1881" s="8" t="str">
        <f t="shared" si="59"/>
        <v/>
      </c>
      <c r="AG1881" s="9"/>
      <c r="AH1881" s="10"/>
    </row>
    <row r="1882" spans="3:34" x14ac:dyDescent="0.35">
      <c r="C1882" s="5"/>
      <c r="D1882" s="5"/>
      <c r="T1882" s="6"/>
      <c r="U1882" s="6"/>
      <c r="V1882" s="6"/>
      <c r="W1882" s="7" t="str">
        <f t="shared" si="58"/>
        <v/>
      </c>
      <c r="X1882" s="8" t="str">
        <f t="shared" si="59"/>
        <v/>
      </c>
      <c r="AG1882" s="9"/>
      <c r="AH1882" s="10"/>
    </row>
    <row r="1883" spans="3:34" x14ac:dyDescent="0.35">
      <c r="C1883" s="5"/>
      <c r="D1883" s="5"/>
      <c r="T1883" s="6"/>
      <c r="U1883" s="6"/>
      <c r="V1883" s="6"/>
      <c r="W1883" s="7" t="str">
        <f t="shared" si="58"/>
        <v/>
      </c>
      <c r="X1883" s="8" t="str">
        <f t="shared" si="59"/>
        <v/>
      </c>
      <c r="AG1883" s="9"/>
      <c r="AH1883" s="10"/>
    </row>
    <row r="1884" spans="3:34" x14ac:dyDescent="0.35">
      <c r="C1884" s="5"/>
      <c r="D1884" s="5"/>
      <c r="T1884" s="6"/>
      <c r="U1884" s="6"/>
      <c r="V1884" s="6"/>
      <c r="W1884" s="7" t="str">
        <f t="shared" si="58"/>
        <v/>
      </c>
      <c r="X1884" s="8" t="str">
        <f t="shared" si="59"/>
        <v/>
      </c>
      <c r="AG1884" s="9"/>
      <c r="AH1884" s="10"/>
    </row>
    <row r="1885" spans="3:34" x14ac:dyDescent="0.35">
      <c r="C1885" s="5"/>
      <c r="D1885" s="5"/>
      <c r="T1885" s="6"/>
      <c r="U1885" s="6"/>
      <c r="V1885" s="6"/>
      <c r="W1885" s="7" t="str">
        <f t="shared" si="58"/>
        <v/>
      </c>
      <c r="X1885" s="8" t="str">
        <f t="shared" si="59"/>
        <v/>
      </c>
      <c r="AG1885" s="9"/>
      <c r="AH1885" s="10"/>
    </row>
    <row r="1886" spans="3:34" x14ac:dyDescent="0.35">
      <c r="C1886" s="5"/>
      <c r="D1886" s="5"/>
      <c r="T1886" s="6"/>
      <c r="U1886" s="6"/>
      <c r="V1886" s="6"/>
      <c r="W1886" s="7" t="str">
        <f t="shared" si="58"/>
        <v/>
      </c>
      <c r="X1886" s="8" t="str">
        <f t="shared" si="59"/>
        <v/>
      </c>
      <c r="AG1886" s="9"/>
      <c r="AH1886" s="10"/>
    </row>
    <row r="1887" spans="3:34" x14ac:dyDescent="0.35">
      <c r="C1887" s="5"/>
      <c r="D1887" s="5"/>
      <c r="T1887" s="6"/>
      <c r="U1887" s="6"/>
      <c r="V1887" s="6"/>
      <c r="W1887" s="7" t="str">
        <f t="shared" si="58"/>
        <v/>
      </c>
      <c r="X1887" s="8" t="str">
        <f t="shared" si="59"/>
        <v/>
      </c>
      <c r="AG1887" s="9"/>
      <c r="AH1887" s="10"/>
    </row>
    <row r="1888" spans="3:34" x14ac:dyDescent="0.35">
      <c r="C1888" s="5"/>
      <c r="D1888" s="5"/>
      <c r="T1888" s="6"/>
      <c r="U1888" s="6"/>
      <c r="V1888" s="6"/>
      <c r="W1888" s="7" t="str">
        <f t="shared" si="58"/>
        <v/>
      </c>
      <c r="X1888" s="8" t="str">
        <f t="shared" si="59"/>
        <v/>
      </c>
      <c r="AG1888" s="9"/>
      <c r="AH1888" s="10"/>
    </row>
    <row r="1889" spans="3:34" x14ac:dyDescent="0.35">
      <c r="C1889" s="5"/>
      <c r="D1889" s="5"/>
      <c r="T1889" s="6"/>
      <c r="U1889" s="6"/>
      <c r="V1889" s="6"/>
      <c r="W1889" s="7" t="str">
        <f t="shared" si="58"/>
        <v/>
      </c>
      <c r="X1889" s="8" t="str">
        <f t="shared" si="59"/>
        <v/>
      </c>
      <c r="AG1889" s="9"/>
      <c r="AH1889" s="10"/>
    </row>
    <row r="1890" spans="3:34" x14ac:dyDescent="0.35">
      <c r="C1890" s="5"/>
      <c r="D1890" s="5"/>
      <c r="T1890" s="6"/>
      <c r="U1890" s="6"/>
      <c r="V1890" s="6"/>
      <c r="W1890" s="7" t="str">
        <f t="shared" si="58"/>
        <v/>
      </c>
      <c r="X1890" s="8" t="str">
        <f t="shared" si="59"/>
        <v/>
      </c>
      <c r="AG1890" s="9"/>
      <c r="AH1890" s="10"/>
    </row>
    <row r="1891" spans="3:34" x14ac:dyDescent="0.35">
      <c r="C1891" s="5"/>
      <c r="D1891" s="5"/>
      <c r="T1891" s="6"/>
      <c r="U1891" s="6"/>
      <c r="V1891" s="6"/>
      <c r="W1891" s="7" t="str">
        <f t="shared" si="58"/>
        <v/>
      </c>
      <c r="X1891" s="8" t="str">
        <f t="shared" si="59"/>
        <v/>
      </c>
      <c r="AG1891" s="9"/>
      <c r="AH1891" s="10"/>
    </row>
    <row r="1892" spans="3:34" x14ac:dyDescent="0.35">
      <c r="C1892" s="5"/>
      <c r="D1892" s="5"/>
      <c r="T1892" s="6"/>
      <c r="U1892" s="6"/>
      <c r="V1892" s="6"/>
      <c r="W1892" s="7" t="str">
        <f t="shared" si="58"/>
        <v/>
      </c>
      <c r="X1892" s="8" t="str">
        <f t="shared" si="59"/>
        <v/>
      </c>
      <c r="AG1892" s="9"/>
      <c r="AH1892" s="10"/>
    </row>
    <row r="1893" spans="3:34" x14ac:dyDescent="0.35">
      <c r="C1893" s="5"/>
      <c r="D1893" s="5"/>
      <c r="T1893" s="6"/>
      <c r="U1893" s="6"/>
      <c r="V1893" s="6"/>
      <c r="W1893" s="7" t="str">
        <f t="shared" si="58"/>
        <v/>
      </c>
      <c r="X1893" s="8" t="str">
        <f t="shared" si="59"/>
        <v/>
      </c>
      <c r="AG1893" s="9"/>
      <c r="AH1893" s="10"/>
    </row>
    <row r="1894" spans="3:34" x14ac:dyDescent="0.35">
      <c r="C1894" s="5"/>
      <c r="D1894" s="5"/>
      <c r="T1894" s="6"/>
      <c r="U1894" s="6"/>
      <c r="V1894" s="6"/>
      <c r="W1894" s="7" t="str">
        <f t="shared" si="58"/>
        <v/>
      </c>
      <c r="X1894" s="8" t="str">
        <f t="shared" si="59"/>
        <v/>
      </c>
      <c r="AG1894" s="9"/>
      <c r="AH1894" s="10"/>
    </row>
    <row r="1895" spans="3:34" x14ac:dyDescent="0.35">
      <c r="C1895" s="5"/>
      <c r="D1895" s="5"/>
      <c r="T1895" s="6"/>
      <c r="U1895" s="6"/>
      <c r="V1895" s="6"/>
      <c r="W1895" s="7" t="str">
        <f t="shared" si="58"/>
        <v/>
      </c>
      <c r="X1895" s="8" t="str">
        <f t="shared" si="59"/>
        <v/>
      </c>
      <c r="AG1895" s="9"/>
      <c r="AH1895" s="10"/>
    </row>
    <row r="1896" spans="3:34" x14ac:dyDescent="0.35">
      <c r="C1896" s="5"/>
      <c r="D1896" s="5"/>
      <c r="T1896" s="6"/>
      <c r="U1896" s="6"/>
      <c r="V1896" s="6"/>
      <c r="W1896" s="7" t="str">
        <f t="shared" si="58"/>
        <v/>
      </c>
      <c r="X1896" s="8" t="str">
        <f t="shared" si="59"/>
        <v/>
      </c>
      <c r="AG1896" s="9"/>
      <c r="AH1896" s="10"/>
    </row>
    <row r="1897" spans="3:34" x14ac:dyDescent="0.35">
      <c r="C1897" s="5"/>
      <c r="D1897" s="5"/>
      <c r="T1897" s="6"/>
      <c r="U1897" s="6"/>
      <c r="V1897" s="6"/>
      <c r="W1897" s="7" t="str">
        <f t="shared" si="58"/>
        <v/>
      </c>
      <c r="X1897" s="8" t="str">
        <f t="shared" si="59"/>
        <v/>
      </c>
      <c r="AG1897" s="9"/>
      <c r="AH1897" s="10"/>
    </row>
    <row r="1898" spans="3:34" x14ac:dyDescent="0.35">
      <c r="C1898" s="5"/>
      <c r="D1898" s="5"/>
      <c r="T1898" s="6"/>
      <c r="U1898" s="6"/>
      <c r="V1898" s="6"/>
      <c r="W1898" s="7" t="str">
        <f t="shared" si="58"/>
        <v/>
      </c>
      <c r="X1898" s="8" t="str">
        <f t="shared" si="59"/>
        <v/>
      </c>
      <c r="AG1898" s="9"/>
      <c r="AH1898" s="10"/>
    </row>
    <row r="1899" spans="3:34" x14ac:dyDescent="0.35">
      <c r="C1899" s="5"/>
      <c r="D1899" s="5"/>
      <c r="T1899" s="6"/>
      <c r="U1899" s="6"/>
      <c r="V1899" s="6"/>
      <c r="W1899" s="7" t="str">
        <f t="shared" si="58"/>
        <v/>
      </c>
      <c r="X1899" s="8" t="str">
        <f t="shared" si="59"/>
        <v/>
      </c>
      <c r="AG1899" s="9"/>
      <c r="AH1899" s="10"/>
    </row>
    <row r="1900" spans="3:34" x14ac:dyDescent="0.35">
      <c r="C1900" s="5"/>
      <c r="D1900" s="5"/>
      <c r="T1900" s="6"/>
      <c r="U1900" s="6"/>
      <c r="V1900" s="6"/>
      <c r="W1900" s="7" t="str">
        <f t="shared" si="58"/>
        <v/>
      </c>
      <c r="X1900" s="8" t="str">
        <f t="shared" si="59"/>
        <v/>
      </c>
      <c r="AG1900" s="9"/>
      <c r="AH1900" s="10"/>
    </row>
    <row r="1901" spans="3:34" x14ac:dyDescent="0.35">
      <c r="C1901" s="5"/>
      <c r="D1901" s="5"/>
      <c r="T1901" s="6"/>
      <c r="U1901" s="6"/>
      <c r="V1901" s="6"/>
      <c r="W1901" s="7" t="str">
        <f t="shared" si="58"/>
        <v/>
      </c>
      <c r="X1901" s="8" t="str">
        <f t="shared" si="59"/>
        <v/>
      </c>
      <c r="AG1901" s="9"/>
      <c r="AH1901" s="10"/>
    </row>
    <row r="1902" spans="3:34" x14ac:dyDescent="0.35">
      <c r="C1902" s="5"/>
      <c r="D1902" s="5"/>
      <c r="T1902" s="6"/>
      <c r="U1902" s="6"/>
      <c r="V1902" s="6"/>
      <c r="W1902" s="7" t="str">
        <f t="shared" si="58"/>
        <v/>
      </c>
      <c r="X1902" s="8" t="str">
        <f t="shared" si="59"/>
        <v/>
      </c>
      <c r="AG1902" s="9"/>
      <c r="AH1902" s="10"/>
    </row>
    <row r="1903" spans="3:34" x14ac:dyDescent="0.35">
      <c r="C1903" s="5"/>
      <c r="D1903" s="5"/>
      <c r="T1903" s="6"/>
      <c r="U1903" s="6"/>
      <c r="V1903" s="6"/>
      <c r="W1903" s="7" t="str">
        <f t="shared" si="58"/>
        <v/>
      </c>
      <c r="X1903" s="8" t="str">
        <f t="shared" si="59"/>
        <v/>
      </c>
      <c r="AG1903" s="9"/>
      <c r="AH1903" s="10"/>
    </row>
    <row r="1904" spans="3:34" x14ac:dyDescent="0.35">
      <c r="C1904" s="5"/>
      <c r="D1904" s="5"/>
      <c r="T1904" s="6"/>
      <c r="U1904" s="6"/>
      <c r="V1904" s="6"/>
      <c r="W1904" s="7" t="str">
        <f t="shared" si="58"/>
        <v/>
      </c>
      <c r="X1904" s="8" t="str">
        <f t="shared" si="59"/>
        <v/>
      </c>
      <c r="AG1904" s="9"/>
      <c r="AH1904" s="10"/>
    </row>
    <row r="1905" spans="3:34" x14ac:dyDescent="0.35">
      <c r="C1905" s="5"/>
      <c r="D1905" s="5"/>
      <c r="T1905" s="6"/>
      <c r="U1905" s="6"/>
      <c r="V1905" s="6"/>
      <c r="W1905" s="7" t="str">
        <f t="shared" si="58"/>
        <v/>
      </c>
      <c r="X1905" s="8" t="str">
        <f t="shared" si="59"/>
        <v/>
      </c>
      <c r="AG1905" s="9"/>
      <c r="AH1905" s="10"/>
    </row>
    <row r="1906" spans="3:34" x14ac:dyDescent="0.35">
      <c r="C1906" s="5"/>
      <c r="D1906" s="5"/>
      <c r="T1906" s="6"/>
      <c r="U1906" s="6"/>
      <c r="V1906" s="6"/>
      <c r="W1906" s="7" t="str">
        <f t="shared" si="58"/>
        <v/>
      </c>
      <c r="X1906" s="8" t="str">
        <f t="shared" si="59"/>
        <v/>
      </c>
      <c r="AG1906" s="9"/>
      <c r="AH1906" s="10"/>
    </row>
    <row r="1907" spans="3:34" x14ac:dyDescent="0.35">
      <c r="C1907" s="5"/>
      <c r="D1907" s="5"/>
      <c r="T1907" s="6"/>
      <c r="U1907" s="6"/>
      <c r="V1907" s="6"/>
      <c r="W1907" s="7" t="str">
        <f t="shared" si="58"/>
        <v/>
      </c>
      <c r="X1907" s="8" t="str">
        <f t="shared" si="59"/>
        <v/>
      </c>
      <c r="AG1907" s="9"/>
      <c r="AH1907" s="10"/>
    </row>
    <row r="1908" spans="3:34" x14ac:dyDescent="0.35">
      <c r="C1908" s="5"/>
      <c r="D1908" s="5"/>
      <c r="T1908" s="6"/>
      <c r="U1908" s="6"/>
      <c r="V1908" s="6"/>
      <c r="W1908" s="7" t="str">
        <f t="shared" si="58"/>
        <v/>
      </c>
      <c r="X1908" s="8" t="str">
        <f t="shared" si="59"/>
        <v/>
      </c>
      <c r="AG1908" s="9"/>
      <c r="AH1908" s="10"/>
    </row>
    <row r="1909" spans="3:34" x14ac:dyDescent="0.35">
      <c r="C1909" s="5"/>
      <c r="D1909" s="5"/>
      <c r="T1909" s="6"/>
      <c r="U1909" s="6"/>
      <c r="V1909" s="6"/>
      <c r="W1909" s="7" t="str">
        <f t="shared" si="58"/>
        <v/>
      </c>
      <c r="X1909" s="8" t="str">
        <f t="shared" si="59"/>
        <v/>
      </c>
      <c r="AG1909" s="9"/>
      <c r="AH1909" s="10"/>
    </row>
    <row r="1910" spans="3:34" x14ac:dyDescent="0.35">
      <c r="C1910" s="5"/>
      <c r="D1910" s="5"/>
      <c r="T1910" s="6"/>
      <c r="U1910" s="6"/>
      <c r="V1910" s="6"/>
      <c r="W1910" s="7" t="str">
        <f t="shared" si="58"/>
        <v/>
      </c>
      <c r="X1910" s="8" t="str">
        <f t="shared" si="59"/>
        <v/>
      </c>
      <c r="AG1910" s="9"/>
      <c r="AH1910" s="10"/>
    </row>
    <row r="1911" spans="3:34" x14ac:dyDescent="0.35">
      <c r="C1911" s="5"/>
      <c r="D1911" s="5"/>
      <c r="T1911" s="6"/>
      <c r="U1911" s="6"/>
      <c r="V1911" s="6"/>
      <c r="W1911" s="7" t="str">
        <f t="shared" si="58"/>
        <v/>
      </c>
      <c r="X1911" s="8" t="str">
        <f t="shared" si="59"/>
        <v/>
      </c>
      <c r="AG1911" s="9"/>
      <c r="AH1911" s="10"/>
    </row>
    <row r="1912" spans="3:34" x14ac:dyDescent="0.35">
      <c r="C1912" s="5"/>
      <c r="D1912" s="5"/>
      <c r="T1912" s="6"/>
      <c r="U1912" s="6"/>
      <c r="V1912" s="6"/>
      <c r="W1912" s="7" t="str">
        <f t="shared" si="58"/>
        <v/>
      </c>
      <c r="X1912" s="8" t="str">
        <f t="shared" si="59"/>
        <v/>
      </c>
      <c r="AG1912" s="9"/>
      <c r="AH1912" s="10"/>
    </row>
    <row r="1913" spans="3:34" x14ac:dyDescent="0.35">
      <c r="C1913" s="5"/>
      <c r="D1913" s="5"/>
      <c r="T1913" s="6"/>
      <c r="U1913" s="6"/>
      <c r="V1913" s="6"/>
      <c r="W1913" s="7" t="str">
        <f t="shared" si="58"/>
        <v/>
      </c>
      <c r="X1913" s="8" t="str">
        <f t="shared" si="59"/>
        <v/>
      </c>
      <c r="AG1913" s="9"/>
      <c r="AH1913" s="10"/>
    </row>
    <row r="1914" spans="3:34" x14ac:dyDescent="0.35">
      <c r="C1914" s="5"/>
      <c r="D1914" s="5"/>
      <c r="T1914" s="6"/>
      <c r="U1914" s="6"/>
      <c r="V1914" s="6"/>
      <c r="W1914" s="7" t="str">
        <f t="shared" si="58"/>
        <v/>
      </c>
      <c r="X1914" s="8" t="str">
        <f t="shared" si="59"/>
        <v/>
      </c>
      <c r="AG1914" s="9"/>
      <c r="AH1914" s="10"/>
    </row>
    <row r="1915" spans="3:34" x14ac:dyDescent="0.35">
      <c r="C1915" s="5"/>
      <c r="D1915" s="5"/>
      <c r="T1915" s="6"/>
      <c r="U1915" s="6"/>
      <c r="V1915" s="6"/>
      <c r="W1915" s="7" t="str">
        <f t="shared" si="58"/>
        <v/>
      </c>
      <c r="X1915" s="8" t="str">
        <f t="shared" si="59"/>
        <v/>
      </c>
      <c r="AG1915" s="9"/>
      <c r="AH1915" s="10"/>
    </row>
    <row r="1916" spans="3:34" x14ac:dyDescent="0.35">
      <c r="C1916" s="5"/>
      <c r="D1916" s="5"/>
      <c r="T1916" s="6"/>
      <c r="U1916" s="6"/>
      <c r="V1916" s="6"/>
      <c r="W1916" s="7" t="str">
        <f t="shared" si="58"/>
        <v/>
      </c>
      <c r="X1916" s="8" t="str">
        <f t="shared" si="59"/>
        <v/>
      </c>
      <c r="AG1916" s="9"/>
      <c r="AH1916" s="10"/>
    </row>
    <row r="1917" spans="3:34" x14ac:dyDescent="0.35">
      <c r="C1917" s="5"/>
      <c r="D1917" s="5"/>
      <c r="T1917" s="6"/>
      <c r="U1917" s="6"/>
      <c r="V1917" s="6"/>
      <c r="W1917" s="7" t="str">
        <f t="shared" si="58"/>
        <v/>
      </c>
      <c r="X1917" s="8" t="str">
        <f t="shared" si="59"/>
        <v/>
      </c>
      <c r="AG1917" s="9"/>
      <c r="AH1917" s="10"/>
    </row>
    <row r="1918" spans="3:34" x14ac:dyDescent="0.35">
      <c r="C1918" s="5"/>
      <c r="D1918" s="5"/>
      <c r="T1918" s="6"/>
      <c r="U1918" s="6"/>
      <c r="V1918" s="6"/>
      <c r="W1918" s="7" t="str">
        <f t="shared" si="58"/>
        <v/>
      </c>
      <c r="X1918" s="8" t="str">
        <f t="shared" si="59"/>
        <v/>
      </c>
      <c r="AG1918" s="9"/>
      <c r="AH1918" s="10"/>
    </row>
    <row r="1919" spans="3:34" x14ac:dyDescent="0.35">
      <c r="C1919" s="5"/>
      <c r="D1919" s="5"/>
      <c r="T1919" s="6"/>
      <c r="U1919" s="6"/>
      <c r="V1919" s="6"/>
      <c r="W1919" s="7" t="str">
        <f t="shared" si="58"/>
        <v/>
      </c>
      <c r="X1919" s="8" t="str">
        <f t="shared" si="59"/>
        <v/>
      </c>
      <c r="AG1919" s="9"/>
      <c r="AH1919" s="10"/>
    </row>
    <row r="1920" spans="3:34" x14ac:dyDescent="0.35">
      <c r="C1920" s="5"/>
      <c r="D1920" s="5"/>
      <c r="T1920" s="6"/>
      <c r="U1920" s="6"/>
      <c r="V1920" s="6"/>
      <c r="W1920" s="7" t="str">
        <f t="shared" si="58"/>
        <v/>
      </c>
      <c r="X1920" s="8" t="str">
        <f t="shared" si="59"/>
        <v/>
      </c>
      <c r="AG1920" s="9"/>
      <c r="AH1920" s="10"/>
    </row>
    <row r="1921" spans="3:34" x14ac:dyDescent="0.35">
      <c r="C1921" s="5"/>
      <c r="D1921" s="5"/>
      <c r="T1921" s="6"/>
      <c r="U1921" s="6"/>
      <c r="V1921" s="6"/>
      <c r="W1921" s="7" t="str">
        <f t="shared" si="58"/>
        <v/>
      </c>
      <c r="X1921" s="8" t="str">
        <f t="shared" si="59"/>
        <v/>
      </c>
      <c r="AG1921" s="9"/>
      <c r="AH1921" s="10"/>
    </row>
    <row r="1922" spans="3:34" x14ac:dyDescent="0.35">
      <c r="C1922" s="5"/>
      <c r="D1922" s="5"/>
      <c r="T1922" s="6"/>
      <c r="U1922" s="6"/>
      <c r="V1922" s="6"/>
      <c r="W1922" s="7" t="str">
        <f t="shared" ref="W1922:W1985" si="60">IF($U1922&gt;0,$U1922-$V1922,"")</f>
        <v/>
      </c>
      <c r="X1922" s="8" t="str">
        <f t="shared" ref="X1922:X1985" si="61">IF($U1922&gt;0,($U1922-$V1922)/$U1922,"")</f>
        <v/>
      </c>
      <c r="AG1922" s="9"/>
      <c r="AH1922" s="10"/>
    </row>
    <row r="1923" spans="3:34" x14ac:dyDescent="0.35">
      <c r="C1923" s="5"/>
      <c r="D1923" s="5"/>
      <c r="T1923" s="6"/>
      <c r="U1923" s="6"/>
      <c r="V1923" s="6"/>
      <c r="W1923" s="7" t="str">
        <f t="shared" si="60"/>
        <v/>
      </c>
      <c r="X1923" s="8" t="str">
        <f t="shared" si="61"/>
        <v/>
      </c>
      <c r="AG1923" s="9"/>
      <c r="AH1923" s="10"/>
    </row>
    <row r="1924" spans="3:34" x14ac:dyDescent="0.35">
      <c r="C1924" s="5"/>
      <c r="D1924" s="5"/>
      <c r="T1924" s="6"/>
      <c r="U1924" s="6"/>
      <c r="V1924" s="6"/>
      <c r="W1924" s="7" t="str">
        <f t="shared" si="60"/>
        <v/>
      </c>
      <c r="X1924" s="8" t="str">
        <f t="shared" si="61"/>
        <v/>
      </c>
      <c r="AG1924" s="9"/>
      <c r="AH1924" s="10"/>
    </row>
    <row r="1925" spans="3:34" x14ac:dyDescent="0.35">
      <c r="C1925" s="5"/>
      <c r="D1925" s="5"/>
      <c r="T1925" s="6"/>
      <c r="U1925" s="6"/>
      <c r="V1925" s="6"/>
      <c r="W1925" s="7" t="str">
        <f t="shared" si="60"/>
        <v/>
      </c>
      <c r="X1925" s="8" t="str">
        <f t="shared" si="61"/>
        <v/>
      </c>
      <c r="AG1925" s="9"/>
      <c r="AH1925" s="10"/>
    </row>
    <row r="1926" spans="3:34" x14ac:dyDescent="0.35">
      <c r="C1926" s="5"/>
      <c r="D1926" s="5"/>
      <c r="T1926" s="6"/>
      <c r="U1926" s="6"/>
      <c r="V1926" s="6"/>
      <c r="W1926" s="7" t="str">
        <f t="shared" si="60"/>
        <v/>
      </c>
      <c r="X1926" s="8" t="str">
        <f t="shared" si="61"/>
        <v/>
      </c>
      <c r="AG1926" s="9"/>
      <c r="AH1926" s="10"/>
    </row>
    <row r="1927" spans="3:34" x14ac:dyDescent="0.35">
      <c r="C1927" s="5"/>
      <c r="D1927" s="5"/>
      <c r="T1927" s="6"/>
      <c r="U1927" s="6"/>
      <c r="V1927" s="6"/>
      <c r="W1927" s="7" t="str">
        <f t="shared" si="60"/>
        <v/>
      </c>
      <c r="X1927" s="8" t="str">
        <f t="shared" si="61"/>
        <v/>
      </c>
      <c r="AG1927" s="9"/>
      <c r="AH1927" s="10"/>
    </row>
    <row r="1928" spans="3:34" x14ac:dyDescent="0.35">
      <c r="C1928" s="5"/>
      <c r="D1928" s="5"/>
      <c r="T1928" s="6"/>
      <c r="U1928" s="6"/>
      <c r="V1928" s="6"/>
      <c r="W1928" s="7" t="str">
        <f t="shared" si="60"/>
        <v/>
      </c>
      <c r="X1928" s="8" t="str">
        <f t="shared" si="61"/>
        <v/>
      </c>
      <c r="AG1928" s="9"/>
      <c r="AH1928" s="10"/>
    </row>
    <row r="1929" spans="3:34" x14ac:dyDescent="0.35">
      <c r="C1929" s="5"/>
      <c r="D1929" s="5"/>
      <c r="T1929" s="6"/>
      <c r="U1929" s="6"/>
      <c r="V1929" s="6"/>
      <c r="W1929" s="7" t="str">
        <f t="shared" si="60"/>
        <v/>
      </c>
      <c r="X1929" s="8" t="str">
        <f t="shared" si="61"/>
        <v/>
      </c>
      <c r="AG1929" s="9"/>
      <c r="AH1929" s="10"/>
    </row>
    <row r="1930" spans="3:34" x14ac:dyDescent="0.35">
      <c r="C1930" s="5"/>
      <c r="D1930" s="5"/>
      <c r="T1930" s="6"/>
      <c r="U1930" s="6"/>
      <c r="V1930" s="6"/>
      <c r="W1930" s="7" t="str">
        <f t="shared" si="60"/>
        <v/>
      </c>
      <c r="X1930" s="8" t="str">
        <f t="shared" si="61"/>
        <v/>
      </c>
      <c r="AG1930" s="9"/>
      <c r="AH1930" s="10"/>
    </row>
    <row r="1931" spans="3:34" x14ac:dyDescent="0.35">
      <c r="C1931" s="5"/>
      <c r="D1931" s="5"/>
      <c r="T1931" s="6"/>
      <c r="U1931" s="6"/>
      <c r="V1931" s="6"/>
      <c r="W1931" s="7" t="str">
        <f t="shared" si="60"/>
        <v/>
      </c>
      <c r="X1931" s="8" t="str">
        <f t="shared" si="61"/>
        <v/>
      </c>
      <c r="AG1931" s="9"/>
      <c r="AH1931" s="10"/>
    </row>
    <row r="1932" spans="3:34" x14ac:dyDescent="0.35">
      <c r="C1932" s="5"/>
      <c r="D1932" s="5"/>
      <c r="T1932" s="6"/>
      <c r="U1932" s="6"/>
      <c r="V1932" s="6"/>
      <c r="W1932" s="7" t="str">
        <f t="shared" si="60"/>
        <v/>
      </c>
      <c r="X1932" s="8" t="str">
        <f t="shared" si="61"/>
        <v/>
      </c>
      <c r="AG1932" s="9"/>
      <c r="AH1932" s="10"/>
    </row>
    <row r="1933" spans="3:34" x14ac:dyDescent="0.35">
      <c r="C1933" s="5"/>
      <c r="D1933" s="5"/>
      <c r="T1933" s="6"/>
      <c r="U1933" s="6"/>
      <c r="V1933" s="6"/>
      <c r="W1933" s="7" t="str">
        <f t="shared" si="60"/>
        <v/>
      </c>
      <c r="X1933" s="8" t="str">
        <f t="shared" si="61"/>
        <v/>
      </c>
      <c r="AG1933" s="9"/>
      <c r="AH1933" s="10"/>
    </row>
    <row r="1934" spans="3:34" x14ac:dyDescent="0.35">
      <c r="C1934" s="5"/>
      <c r="D1934" s="5"/>
      <c r="T1934" s="6"/>
      <c r="U1934" s="6"/>
      <c r="V1934" s="6"/>
      <c r="W1934" s="7" t="str">
        <f t="shared" si="60"/>
        <v/>
      </c>
      <c r="X1934" s="8" t="str">
        <f t="shared" si="61"/>
        <v/>
      </c>
      <c r="AG1934" s="9"/>
      <c r="AH1934" s="10"/>
    </row>
    <row r="1935" spans="3:34" x14ac:dyDescent="0.35">
      <c r="C1935" s="5"/>
      <c r="D1935" s="5"/>
      <c r="T1935" s="6"/>
      <c r="U1935" s="6"/>
      <c r="V1935" s="6"/>
      <c r="W1935" s="7" t="str">
        <f t="shared" si="60"/>
        <v/>
      </c>
      <c r="X1935" s="8" t="str">
        <f t="shared" si="61"/>
        <v/>
      </c>
      <c r="AG1935" s="9"/>
      <c r="AH1935" s="10"/>
    </row>
    <row r="1936" spans="3:34" x14ac:dyDescent="0.35">
      <c r="C1936" s="5"/>
      <c r="D1936" s="5"/>
      <c r="T1936" s="6"/>
      <c r="U1936" s="6"/>
      <c r="V1936" s="6"/>
      <c r="W1936" s="7" t="str">
        <f t="shared" si="60"/>
        <v/>
      </c>
      <c r="X1936" s="8" t="str">
        <f t="shared" si="61"/>
        <v/>
      </c>
      <c r="AG1936" s="9"/>
      <c r="AH1936" s="10"/>
    </row>
    <row r="1937" spans="3:34" x14ac:dyDescent="0.35">
      <c r="C1937" s="5"/>
      <c r="D1937" s="5"/>
      <c r="T1937" s="6"/>
      <c r="U1937" s="6"/>
      <c r="V1937" s="6"/>
      <c r="W1937" s="7" t="str">
        <f t="shared" si="60"/>
        <v/>
      </c>
      <c r="X1937" s="8" t="str">
        <f t="shared" si="61"/>
        <v/>
      </c>
      <c r="AG1937" s="9"/>
      <c r="AH1937" s="10"/>
    </row>
    <row r="1938" spans="3:34" x14ac:dyDescent="0.35">
      <c r="C1938" s="5"/>
      <c r="D1938" s="5"/>
      <c r="T1938" s="6"/>
      <c r="U1938" s="6"/>
      <c r="V1938" s="6"/>
      <c r="W1938" s="7" t="str">
        <f t="shared" si="60"/>
        <v/>
      </c>
      <c r="X1938" s="8" t="str">
        <f t="shared" si="61"/>
        <v/>
      </c>
      <c r="AG1938" s="9"/>
      <c r="AH1938" s="10"/>
    </row>
    <row r="1939" spans="3:34" x14ac:dyDescent="0.35">
      <c r="C1939" s="5"/>
      <c r="D1939" s="5"/>
      <c r="T1939" s="6"/>
      <c r="U1939" s="6"/>
      <c r="V1939" s="6"/>
      <c r="W1939" s="7" t="str">
        <f t="shared" si="60"/>
        <v/>
      </c>
      <c r="X1939" s="8" t="str">
        <f t="shared" si="61"/>
        <v/>
      </c>
      <c r="AG1939" s="9"/>
      <c r="AH1939" s="10"/>
    </row>
    <row r="1940" spans="3:34" x14ac:dyDescent="0.35">
      <c r="C1940" s="5"/>
      <c r="D1940" s="5"/>
      <c r="T1940" s="6"/>
      <c r="U1940" s="6"/>
      <c r="V1940" s="6"/>
      <c r="W1940" s="7" t="str">
        <f t="shared" si="60"/>
        <v/>
      </c>
      <c r="X1940" s="8" t="str">
        <f t="shared" si="61"/>
        <v/>
      </c>
      <c r="AG1940" s="9"/>
      <c r="AH1940" s="10"/>
    </row>
    <row r="1941" spans="3:34" x14ac:dyDescent="0.35">
      <c r="C1941" s="5"/>
      <c r="D1941" s="5"/>
      <c r="T1941" s="6"/>
      <c r="U1941" s="6"/>
      <c r="V1941" s="6"/>
      <c r="W1941" s="7" t="str">
        <f t="shared" si="60"/>
        <v/>
      </c>
      <c r="X1941" s="8" t="str">
        <f t="shared" si="61"/>
        <v/>
      </c>
      <c r="AG1941" s="9"/>
      <c r="AH1941" s="10"/>
    </row>
    <row r="1942" spans="3:34" x14ac:dyDescent="0.35">
      <c r="C1942" s="5"/>
      <c r="D1942" s="5"/>
      <c r="T1942" s="6"/>
      <c r="U1942" s="6"/>
      <c r="V1942" s="6"/>
      <c r="W1942" s="7" t="str">
        <f t="shared" si="60"/>
        <v/>
      </c>
      <c r="X1942" s="8" t="str">
        <f t="shared" si="61"/>
        <v/>
      </c>
      <c r="AG1942" s="9"/>
      <c r="AH1942" s="10"/>
    </row>
    <row r="1943" spans="3:34" x14ac:dyDescent="0.35">
      <c r="C1943" s="5"/>
      <c r="D1943" s="5"/>
      <c r="T1943" s="6"/>
      <c r="U1943" s="6"/>
      <c r="V1943" s="6"/>
      <c r="W1943" s="7" t="str">
        <f t="shared" si="60"/>
        <v/>
      </c>
      <c r="X1943" s="8" t="str">
        <f t="shared" si="61"/>
        <v/>
      </c>
      <c r="AG1943" s="9"/>
      <c r="AH1943" s="10"/>
    </row>
    <row r="1944" spans="3:34" x14ac:dyDescent="0.35">
      <c r="C1944" s="5"/>
      <c r="D1944" s="5"/>
      <c r="T1944" s="6"/>
      <c r="U1944" s="6"/>
      <c r="V1944" s="6"/>
      <c r="W1944" s="7" t="str">
        <f t="shared" si="60"/>
        <v/>
      </c>
      <c r="X1944" s="8" t="str">
        <f t="shared" si="61"/>
        <v/>
      </c>
      <c r="AG1944" s="9"/>
      <c r="AH1944" s="10"/>
    </row>
    <row r="1945" spans="3:34" x14ac:dyDescent="0.35">
      <c r="C1945" s="5"/>
      <c r="D1945" s="5"/>
      <c r="T1945" s="6"/>
      <c r="U1945" s="6"/>
      <c r="V1945" s="6"/>
      <c r="W1945" s="7" t="str">
        <f t="shared" si="60"/>
        <v/>
      </c>
      <c r="X1945" s="8" t="str">
        <f t="shared" si="61"/>
        <v/>
      </c>
      <c r="AG1945" s="9"/>
      <c r="AH1945" s="10"/>
    </row>
    <row r="1946" spans="3:34" x14ac:dyDescent="0.35">
      <c r="C1946" s="5"/>
      <c r="D1946" s="5"/>
      <c r="T1946" s="6"/>
      <c r="U1946" s="6"/>
      <c r="V1946" s="6"/>
      <c r="W1946" s="7" t="str">
        <f t="shared" si="60"/>
        <v/>
      </c>
      <c r="X1946" s="8" t="str">
        <f t="shared" si="61"/>
        <v/>
      </c>
      <c r="AG1946" s="9"/>
      <c r="AH1946" s="10"/>
    </row>
    <row r="1947" spans="3:34" x14ac:dyDescent="0.35">
      <c r="C1947" s="5"/>
      <c r="D1947" s="5"/>
      <c r="T1947" s="6"/>
      <c r="U1947" s="6"/>
      <c r="V1947" s="6"/>
      <c r="W1947" s="7" t="str">
        <f t="shared" si="60"/>
        <v/>
      </c>
      <c r="X1947" s="8" t="str">
        <f t="shared" si="61"/>
        <v/>
      </c>
      <c r="AG1947" s="9"/>
      <c r="AH1947" s="10"/>
    </row>
    <row r="1948" spans="3:34" x14ac:dyDescent="0.35">
      <c r="C1948" s="5"/>
      <c r="D1948" s="5"/>
      <c r="T1948" s="6"/>
      <c r="U1948" s="6"/>
      <c r="V1948" s="6"/>
      <c r="W1948" s="7" t="str">
        <f t="shared" si="60"/>
        <v/>
      </c>
      <c r="X1948" s="8" t="str">
        <f t="shared" si="61"/>
        <v/>
      </c>
      <c r="AG1948" s="9"/>
      <c r="AH1948" s="10"/>
    </row>
    <row r="1949" spans="3:34" x14ac:dyDescent="0.35">
      <c r="C1949" s="5"/>
      <c r="D1949" s="5"/>
      <c r="T1949" s="6"/>
      <c r="U1949" s="6"/>
      <c r="V1949" s="6"/>
      <c r="W1949" s="7" t="str">
        <f t="shared" si="60"/>
        <v/>
      </c>
      <c r="X1949" s="8" t="str">
        <f t="shared" si="61"/>
        <v/>
      </c>
      <c r="AG1949" s="9"/>
      <c r="AH1949" s="10"/>
    </row>
    <row r="1950" spans="3:34" x14ac:dyDescent="0.35">
      <c r="C1950" s="5"/>
      <c r="D1950" s="5"/>
      <c r="T1950" s="6"/>
      <c r="U1950" s="6"/>
      <c r="V1950" s="6"/>
      <c r="W1950" s="7" t="str">
        <f t="shared" si="60"/>
        <v/>
      </c>
      <c r="X1950" s="8" t="str">
        <f t="shared" si="61"/>
        <v/>
      </c>
      <c r="AG1950" s="9"/>
      <c r="AH1950" s="10"/>
    </row>
    <row r="1951" spans="3:34" x14ac:dyDescent="0.35">
      <c r="C1951" s="5"/>
      <c r="D1951" s="5"/>
      <c r="T1951" s="6"/>
      <c r="U1951" s="6"/>
      <c r="V1951" s="6"/>
      <c r="W1951" s="7" t="str">
        <f t="shared" si="60"/>
        <v/>
      </c>
      <c r="X1951" s="8" t="str">
        <f t="shared" si="61"/>
        <v/>
      </c>
      <c r="AG1951" s="9"/>
      <c r="AH1951" s="10"/>
    </row>
    <row r="1952" spans="3:34" x14ac:dyDescent="0.35">
      <c r="C1952" s="5"/>
      <c r="D1952" s="5"/>
      <c r="T1952" s="6"/>
      <c r="U1952" s="6"/>
      <c r="V1952" s="6"/>
      <c r="W1952" s="7" t="str">
        <f t="shared" si="60"/>
        <v/>
      </c>
      <c r="X1952" s="8" t="str">
        <f t="shared" si="61"/>
        <v/>
      </c>
      <c r="AG1952" s="9"/>
      <c r="AH1952" s="10"/>
    </row>
    <row r="1953" spans="3:34" x14ac:dyDescent="0.35">
      <c r="C1953" s="5"/>
      <c r="D1953" s="5"/>
      <c r="T1953" s="6"/>
      <c r="U1953" s="6"/>
      <c r="V1953" s="6"/>
      <c r="W1953" s="7" t="str">
        <f t="shared" si="60"/>
        <v/>
      </c>
      <c r="X1953" s="8" t="str">
        <f t="shared" si="61"/>
        <v/>
      </c>
      <c r="AG1953" s="9"/>
      <c r="AH1953" s="10"/>
    </row>
    <row r="1954" spans="3:34" x14ac:dyDescent="0.35">
      <c r="C1954" s="5"/>
      <c r="D1954" s="5"/>
      <c r="T1954" s="6"/>
      <c r="U1954" s="6"/>
      <c r="V1954" s="6"/>
      <c r="W1954" s="7" t="str">
        <f t="shared" si="60"/>
        <v/>
      </c>
      <c r="X1954" s="8" t="str">
        <f t="shared" si="61"/>
        <v/>
      </c>
      <c r="AG1954" s="9"/>
      <c r="AH1954" s="10"/>
    </row>
    <row r="1955" spans="3:34" x14ac:dyDescent="0.35">
      <c r="C1955" s="5"/>
      <c r="D1955" s="5"/>
      <c r="T1955" s="6"/>
      <c r="U1955" s="6"/>
      <c r="V1955" s="6"/>
      <c r="W1955" s="7" t="str">
        <f t="shared" si="60"/>
        <v/>
      </c>
      <c r="X1955" s="8" t="str">
        <f t="shared" si="61"/>
        <v/>
      </c>
      <c r="AG1955" s="9"/>
      <c r="AH1955" s="10"/>
    </row>
    <row r="1956" spans="3:34" x14ac:dyDescent="0.35">
      <c r="C1956" s="5"/>
      <c r="D1956" s="5"/>
      <c r="T1956" s="6"/>
      <c r="U1956" s="6"/>
      <c r="V1956" s="6"/>
      <c r="W1956" s="7" t="str">
        <f t="shared" si="60"/>
        <v/>
      </c>
      <c r="X1956" s="8" t="str">
        <f t="shared" si="61"/>
        <v/>
      </c>
      <c r="AG1956" s="9"/>
      <c r="AH1956" s="10"/>
    </row>
    <row r="1957" spans="3:34" x14ac:dyDescent="0.35">
      <c r="C1957" s="5"/>
      <c r="D1957" s="5"/>
      <c r="T1957" s="6"/>
      <c r="U1957" s="6"/>
      <c r="V1957" s="6"/>
      <c r="W1957" s="7" t="str">
        <f t="shared" si="60"/>
        <v/>
      </c>
      <c r="X1957" s="8" t="str">
        <f t="shared" si="61"/>
        <v/>
      </c>
      <c r="AG1957" s="9"/>
      <c r="AH1957" s="10"/>
    </row>
    <row r="1958" spans="3:34" x14ac:dyDescent="0.35">
      <c r="C1958" s="5"/>
      <c r="D1958" s="5"/>
      <c r="T1958" s="6"/>
      <c r="U1958" s="6"/>
      <c r="V1958" s="6"/>
      <c r="W1958" s="7" t="str">
        <f t="shared" si="60"/>
        <v/>
      </c>
      <c r="X1958" s="8" t="str">
        <f t="shared" si="61"/>
        <v/>
      </c>
      <c r="AG1958" s="9"/>
      <c r="AH1958" s="10"/>
    </row>
    <row r="1959" spans="3:34" x14ac:dyDescent="0.35">
      <c r="C1959" s="5"/>
      <c r="D1959" s="5"/>
      <c r="T1959" s="6"/>
      <c r="U1959" s="6"/>
      <c r="V1959" s="6"/>
      <c r="W1959" s="7" t="str">
        <f t="shared" si="60"/>
        <v/>
      </c>
      <c r="X1959" s="8" t="str">
        <f t="shared" si="61"/>
        <v/>
      </c>
      <c r="AG1959" s="9"/>
      <c r="AH1959" s="10"/>
    </row>
    <row r="1960" spans="3:34" x14ac:dyDescent="0.35">
      <c r="C1960" s="5"/>
      <c r="D1960" s="5"/>
      <c r="T1960" s="6"/>
      <c r="U1960" s="6"/>
      <c r="V1960" s="6"/>
      <c r="W1960" s="7" t="str">
        <f t="shared" si="60"/>
        <v/>
      </c>
      <c r="X1960" s="8" t="str">
        <f t="shared" si="61"/>
        <v/>
      </c>
      <c r="AG1960" s="9"/>
      <c r="AH1960" s="10"/>
    </row>
    <row r="1961" spans="3:34" x14ac:dyDescent="0.35">
      <c r="C1961" s="5"/>
      <c r="D1961" s="5"/>
      <c r="T1961" s="6"/>
      <c r="U1961" s="6"/>
      <c r="V1961" s="6"/>
      <c r="W1961" s="7" t="str">
        <f t="shared" si="60"/>
        <v/>
      </c>
      <c r="X1961" s="8" t="str">
        <f t="shared" si="61"/>
        <v/>
      </c>
      <c r="AG1961" s="9"/>
      <c r="AH1961" s="10"/>
    </row>
    <row r="1962" spans="3:34" x14ac:dyDescent="0.35">
      <c r="C1962" s="5"/>
      <c r="D1962" s="5"/>
      <c r="T1962" s="6"/>
      <c r="U1962" s="6"/>
      <c r="V1962" s="6"/>
      <c r="W1962" s="7" t="str">
        <f t="shared" si="60"/>
        <v/>
      </c>
      <c r="X1962" s="8" t="str">
        <f t="shared" si="61"/>
        <v/>
      </c>
      <c r="AG1962" s="9"/>
      <c r="AH1962" s="10"/>
    </row>
    <row r="1963" spans="3:34" x14ac:dyDescent="0.35">
      <c r="C1963" s="5"/>
      <c r="D1963" s="5"/>
      <c r="T1963" s="6"/>
      <c r="U1963" s="6"/>
      <c r="V1963" s="6"/>
      <c r="W1963" s="7" t="str">
        <f t="shared" si="60"/>
        <v/>
      </c>
      <c r="X1963" s="8" t="str">
        <f t="shared" si="61"/>
        <v/>
      </c>
      <c r="AG1963" s="9"/>
      <c r="AH1963" s="10"/>
    </row>
    <row r="1964" spans="3:34" x14ac:dyDescent="0.35">
      <c r="C1964" s="5"/>
      <c r="D1964" s="5"/>
      <c r="T1964" s="6"/>
      <c r="U1964" s="6"/>
      <c r="V1964" s="6"/>
      <c r="W1964" s="7" t="str">
        <f t="shared" si="60"/>
        <v/>
      </c>
      <c r="X1964" s="8" t="str">
        <f t="shared" si="61"/>
        <v/>
      </c>
      <c r="AG1964" s="9"/>
      <c r="AH1964" s="10"/>
    </row>
    <row r="1965" spans="3:34" x14ac:dyDescent="0.35">
      <c r="C1965" s="5"/>
      <c r="D1965" s="5"/>
      <c r="T1965" s="6"/>
      <c r="U1965" s="6"/>
      <c r="V1965" s="6"/>
      <c r="W1965" s="7" t="str">
        <f t="shared" si="60"/>
        <v/>
      </c>
      <c r="X1965" s="8" t="str">
        <f t="shared" si="61"/>
        <v/>
      </c>
      <c r="AG1965" s="9"/>
      <c r="AH1965" s="10"/>
    </row>
    <row r="1966" spans="3:34" x14ac:dyDescent="0.35">
      <c r="C1966" s="5"/>
      <c r="D1966" s="5"/>
      <c r="T1966" s="6"/>
      <c r="U1966" s="6"/>
      <c r="V1966" s="6"/>
      <c r="W1966" s="7" t="str">
        <f t="shared" si="60"/>
        <v/>
      </c>
      <c r="X1966" s="8" t="str">
        <f t="shared" si="61"/>
        <v/>
      </c>
      <c r="AG1966" s="9"/>
      <c r="AH1966" s="10"/>
    </row>
    <row r="1967" spans="3:34" x14ac:dyDescent="0.35">
      <c r="C1967" s="5"/>
      <c r="D1967" s="5"/>
      <c r="T1967" s="6"/>
      <c r="U1967" s="6"/>
      <c r="V1967" s="6"/>
      <c r="W1967" s="7" t="str">
        <f t="shared" si="60"/>
        <v/>
      </c>
      <c r="X1967" s="8" t="str">
        <f t="shared" si="61"/>
        <v/>
      </c>
      <c r="AG1967" s="9"/>
      <c r="AH1967" s="10"/>
    </row>
    <row r="1968" spans="3:34" x14ac:dyDescent="0.35">
      <c r="C1968" s="5"/>
      <c r="D1968" s="5"/>
      <c r="T1968" s="6"/>
      <c r="U1968" s="6"/>
      <c r="V1968" s="6"/>
      <c r="W1968" s="7" t="str">
        <f t="shared" si="60"/>
        <v/>
      </c>
      <c r="X1968" s="8" t="str">
        <f t="shared" si="61"/>
        <v/>
      </c>
      <c r="AG1968" s="9"/>
      <c r="AH1968" s="10"/>
    </row>
    <row r="1969" spans="3:34" x14ac:dyDescent="0.35">
      <c r="C1969" s="5"/>
      <c r="D1969" s="5"/>
      <c r="T1969" s="6"/>
      <c r="U1969" s="6"/>
      <c r="V1969" s="6"/>
      <c r="W1969" s="7" t="str">
        <f t="shared" si="60"/>
        <v/>
      </c>
      <c r="X1969" s="8" t="str">
        <f t="shared" si="61"/>
        <v/>
      </c>
      <c r="AG1969" s="9"/>
      <c r="AH1969" s="10"/>
    </row>
    <row r="1970" spans="3:34" x14ac:dyDescent="0.35">
      <c r="C1970" s="5"/>
      <c r="D1970" s="5"/>
      <c r="T1970" s="6"/>
      <c r="U1970" s="6"/>
      <c r="V1970" s="6"/>
      <c r="W1970" s="7" t="str">
        <f t="shared" si="60"/>
        <v/>
      </c>
      <c r="X1970" s="8" t="str">
        <f t="shared" si="61"/>
        <v/>
      </c>
      <c r="AG1970" s="9"/>
      <c r="AH1970" s="10"/>
    </row>
    <row r="1971" spans="3:34" x14ac:dyDescent="0.35">
      <c r="C1971" s="5"/>
      <c r="D1971" s="5"/>
      <c r="T1971" s="6"/>
      <c r="U1971" s="6"/>
      <c r="V1971" s="6"/>
      <c r="W1971" s="7" t="str">
        <f t="shared" si="60"/>
        <v/>
      </c>
      <c r="X1971" s="8" t="str">
        <f t="shared" si="61"/>
        <v/>
      </c>
      <c r="AG1971" s="9"/>
      <c r="AH1971" s="10"/>
    </row>
    <row r="1972" spans="3:34" x14ac:dyDescent="0.35">
      <c r="C1972" s="5"/>
      <c r="D1972" s="5"/>
      <c r="T1972" s="6"/>
      <c r="U1972" s="6"/>
      <c r="V1972" s="6"/>
      <c r="W1972" s="7" t="str">
        <f t="shared" si="60"/>
        <v/>
      </c>
      <c r="X1972" s="8" t="str">
        <f t="shared" si="61"/>
        <v/>
      </c>
      <c r="AG1972" s="9"/>
      <c r="AH1972" s="10"/>
    </row>
    <row r="1973" spans="3:34" x14ac:dyDescent="0.35">
      <c r="C1973" s="5"/>
      <c r="D1973" s="5"/>
      <c r="T1973" s="6"/>
      <c r="U1973" s="6"/>
      <c r="V1973" s="6"/>
      <c r="W1973" s="7" t="str">
        <f t="shared" si="60"/>
        <v/>
      </c>
      <c r="X1973" s="8" t="str">
        <f t="shared" si="61"/>
        <v/>
      </c>
      <c r="AG1973" s="9"/>
      <c r="AH1973" s="10"/>
    </row>
    <row r="1974" spans="3:34" x14ac:dyDescent="0.35">
      <c r="C1974" s="5"/>
      <c r="D1974" s="5"/>
      <c r="T1974" s="6"/>
      <c r="U1974" s="6"/>
      <c r="V1974" s="6"/>
      <c r="W1974" s="7" t="str">
        <f t="shared" si="60"/>
        <v/>
      </c>
      <c r="X1974" s="8" t="str">
        <f t="shared" si="61"/>
        <v/>
      </c>
      <c r="AG1974" s="9"/>
      <c r="AH1974" s="10"/>
    </row>
    <row r="1975" spans="3:34" x14ac:dyDescent="0.35">
      <c r="C1975" s="5"/>
      <c r="D1975" s="5"/>
      <c r="T1975" s="6"/>
      <c r="U1975" s="6"/>
      <c r="V1975" s="6"/>
      <c r="W1975" s="7" t="str">
        <f t="shared" si="60"/>
        <v/>
      </c>
      <c r="X1975" s="8" t="str">
        <f t="shared" si="61"/>
        <v/>
      </c>
      <c r="AG1975" s="9"/>
      <c r="AH1975" s="10"/>
    </row>
    <row r="1976" spans="3:34" x14ac:dyDescent="0.35">
      <c r="C1976" s="5"/>
      <c r="D1976" s="5"/>
      <c r="T1976" s="6"/>
      <c r="U1976" s="6"/>
      <c r="V1976" s="6"/>
      <c r="W1976" s="7" t="str">
        <f t="shared" si="60"/>
        <v/>
      </c>
      <c r="X1976" s="8" t="str">
        <f t="shared" si="61"/>
        <v/>
      </c>
      <c r="AG1976" s="9"/>
      <c r="AH1976" s="10"/>
    </row>
    <row r="1977" spans="3:34" x14ac:dyDescent="0.35">
      <c r="C1977" s="5"/>
      <c r="D1977" s="5"/>
      <c r="T1977" s="6"/>
      <c r="U1977" s="6"/>
      <c r="V1977" s="6"/>
      <c r="W1977" s="7" t="str">
        <f t="shared" si="60"/>
        <v/>
      </c>
      <c r="X1977" s="8" t="str">
        <f t="shared" si="61"/>
        <v/>
      </c>
      <c r="AG1977" s="9"/>
      <c r="AH1977" s="10"/>
    </row>
    <row r="1978" spans="3:34" x14ac:dyDescent="0.35">
      <c r="C1978" s="5"/>
      <c r="D1978" s="5"/>
      <c r="T1978" s="6"/>
      <c r="U1978" s="6"/>
      <c r="V1978" s="6"/>
      <c r="W1978" s="7" t="str">
        <f t="shared" si="60"/>
        <v/>
      </c>
      <c r="X1978" s="8" t="str">
        <f t="shared" si="61"/>
        <v/>
      </c>
      <c r="AG1978" s="9"/>
      <c r="AH1978" s="10"/>
    </row>
    <row r="1979" spans="3:34" x14ac:dyDescent="0.35">
      <c r="C1979" s="5"/>
      <c r="D1979" s="5"/>
      <c r="T1979" s="6"/>
      <c r="U1979" s="6"/>
      <c r="V1979" s="6"/>
      <c r="W1979" s="7" t="str">
        <f t="shared" si="60"/>
        <v/>
      </c>
      <c r="X1979" s="8" t="str">
        <f t="shared" si="61"/>
        <v/>
      </c>
      <c r="AG1979" s="9"/>
      <c r="AH1979" s="10"/>
    </row>
    <row r="1980" spans="3:34" x14ac:dyDescent="0.35">
      <c r="C1980" s="5"/>
      <c r="D1980" s="5"/>
      <c r="T1980" s="6"/>
      <c r="U1980" s="6"/>
      <c r="V1980" s="6"/>
      <c r="W1980" s="7" t="str">
        <f t="shared" si="60"/>
        <v/>
      </c>
      <c r="X1980" s="8" t="str">
        <f t="shared" si="61"/>
        <v/>
      </c>
      <c r="AG1980" s="9"/>
      <c r="AH1980" s="10"/>
    </row>
    <row r="1981" spans="3:34" x14ac:dyDescent="0.35">
      <c r="C1981" s="5"/>
      <c r="D1981" s="5"/>
      <c r="T1981" s="6"/>
      <c r="U1981" s="6"/>
      <c r="V1981" s="6"/>
      <c r="W1981" s="7" t="str">
        <f t="shared" si="60"/>
        <v/>
      </c>
      <c r="X1981" s="8" t="str">
        <f t="shared" si="61"/>
        <v/>
      </c>
      <c r="AG1981" s="9"/>
      <c r="AH1981" s="10"/>
    </row>
    <row r="1982" spans="3:34" x14ac:dyDescent="0.35">
      <c r="C1982" s="5"/>
      <c r="D1982" s="5"/>
      <c r="T1982" s="6"/>
      <c r="U1982" s="6"/>
      <c r="V1982" s="6"/>
      <c r="W1982" s="7" t="str">
        <f t="shared" si="60"/>
        <v/>
      </c>
      <c r="X1982" s="8" t="str">
        <f t="shared" si="61"/>
        <v/>
      </c>
      <c r="AG1982" s="9"/>
      <c r="AH1982" s="10"/>
    </row>
    <row r="1983" spans="3:34" x14ac:dyDescent="0.35">
      <c r="C1983" s="5"/>
      <c r="D1983" s="5"/>
      <c r="T1983" s="6"/>
      <c r="U1983" s="6"/>
      <c r="V1983" s="6"/>
      <c r="W1983" s="7" t="str">
        <f t="shared" si="60"/>
        <v/>
      </c>
      <c r="X1983" s="8" t="str">
        <f t="shared" si="61"/>
        <v/>
      </c>
      <c r="AG1983" s="9"/>
      <c r="AH1983" s="10"/>
    </row>
    <row r="1984" spans="3:34" x14ac:dyDescent="0.35">
      <c r="C1984" s="5"/>
      <c r="D1984" s="5"/>
      <c r="T1984" s="6"/>
      <c r="U1984" s="6"/>
      <c r="V1984" s="6"/>
      <c r="W1984" s="7" t="str">
        <f t="shared" si="60"/>
        <v/>
      </c>
      <c r="X1984" s="8" t="str">
        <f t="shared" si="61"/>
        <v/>
      </c>
      <c r="AG1984" s="9"/>
      <c r="AH1984" s="10"/>
    </row>
    <row r="1985" spans="3:34" x14ac:dyDescent="0.35">
      <c r="C1985" s="5"/>
      <c r="D1985" s="5"/>
      <c r="T1985" s="6"/>
      <c r="U1985" s="6"/>
      <c r="V1985" s="6"/>
      <c r="W1985" s="7" t="str">
        <f t="shared" si="60"/>
        <v/>
      </c>
      <c r="X1985" s="8" t="str">
        <f t="shared" si="61"/>
        <v/>
      </c>
      <c r="AG1985" s="9"/>
      <c r="AH1985" s="10"/>
    </row>
    <row r="1986" spans="3:34" x14ac:dyDescent="0.35">
      <c r="C1986" s="5"/>
      <c r="D1986" s="5"/>
      <c r="T1986" s="6"/>
      <c r="U1986" s="6"/>
      <c r="V1986" s="6"/>
      <c r="W1986" s="7" t="str">
        <f t="shared" ref="W1986:W2000" si="62">IF($U1986&gt;0,$U1986-$V1986,"")</f>
        <v/>
      </c>
      <c r="X1986" s="8" t="str">
        <f t="shared" ref="X1986:X2000" si="63">IF($U1986&gt;0,($U1986-$V1986)/$U1986,"")</f>
        <v/>
      </c>
      <c r="AG1986" s="9"/>
      <c r="AH1986" s="10"/>
    </row>
    <row r="1987" spans="3:34" x14ac:dyDescent="0.35">
      <c r="C1987" s="5"/>
      <c r="D1987" s="5"/>
      <c r="T1987" s="6"/>
      <c r="U1987" s="6"/>
      <c r="V1987" s="6"/>
      <c r="W1987" s="7" t="str">
        <f t="shared" si="62"/>
        <v/>
      </c>
      <c r="X1987" s="8" t="str">
        <f t="shared" si="63"/>
        <v/>
      </c>
      <c r="AG1987" s="9"/>
      <c r="AH1987" s="10"/>
    </row>
    <row r="1988" spans="3:34" x14ac:dyDescent="0.35">
      <c r="C1988" s="5"/>
      <c r="D1988" s="5"/>
      <c r="T1988" s="6"/>
      <c r="U1988" s="6"/>
      <c r="V1988" s="6"/>
      <c r="W1988" s="7" t="str">
        <f t="shared" si="62"/>
        <v/>
      </c>
      <c r="X1988" s="8" t="str">
        <f t="shared" si="63"/>
        <v/>
      </c>
      <c r="AG1988" s="9"/>
      <c r="AH1988" s="10"/>
    </row>
    <row r="1989" spans="3:34" x14ac:dyDescent="0.35">
      <c r="C1989" s="5"/>
      <c r="D1989" s="5"/>
      <c r="T1989" s="6"/>
      <c r="U1989" s="6"/>
      <c r="V1989" s="6"/>
      <c r="W1989" s="7" t="str">
        <f t="shared" si="62"/>
        <v/>
      </c>
      <c r="X1989" s="8" t="str">
        <f t="shared" si="63"/>
        <v/>
      </c>
      <c r="AG1989" s="9"/>
      <c r="AH1989" s="10"/>
    </row>
    <row r="1990" spans="3:34" x14ac:dyDescent="0.35">
      <c r="C1990" s="5"/>
      <c r="D1990" s="5"/>
      <c r="T1990" s="6"/>
      <c r="U1990" s="6"/>
      <c r="V1990" s="6"/>
      <c r="W1990" s="7" t="str">
        <f t="shared" si="62"/>
        <v/>
      </c>
      <c r="X1990" s="8" t="str">
        <f t="shared" si="63"/>
        <v/>
      </c>
      <c r="AG1990" s="9"/>
      <c r="AH1990" s="10"/>
    </row>
    <row r="1991" spans="3:34" x14ac:dyDescent="0.35">
      <c r="C1991" s="5"/>
      <c r="D1991" s="5"/>
      <c r="T1991" s="6"/>
      <c r="U1991" s="6"/>
      <c r="V1991" s="6"/>
      <c r="W1991" s="7" t="str">
        <f t="shared" si="62"/>
        <v/>
      </c>
      <c r="X1991" s="8" t="str">
        <f t="shared" si="63"/>
        <v/>
      </c>
      <c r="AG1991" s="9"/>
      <c r="AH1991" s="10"/>
    </row>
    <row r="1992" spans="3:34" x14ac:dyDescent="0.35">
      <c r="C1992" s="5"/>
      <c r="D1992" s="5"/>
      <c r="T1992" s="6"/>
      <c r="U1992" s="6"/>
      <c r="V1992" s="6"/>
      <c r="W1992" s="7" t="str">
        <f t="shared" si="62"/>
        <v/>
      </c>
      <c r="X1992" s="8" t="str">
        <f t="shared" si="63"/>
        <v/>
      </c>
      <c r="AG1992" s="9"/>
      <c r="AH1992" s="10"/>
    </row>
    <row r="1993" spans="3:34" x14ac:dyDescent="0.35">
      <c r="C1993" s="5"/>
      <c r="D1993" s="5"/>
      <c r="T1993" s="6"/>
      <c r="U1993" s="6"/>
      <c r="V1993" s="6"/>
      <c r="W1993" s="7" t="str">
        <f t="shared" si="62"/>
        <v/>
      </c>
      <c r="X1993" s="8" t="str">
        <f t="shared" si="63"/>
        <v/>
      </c>
      <c r="AG1993" s="9"/>
      <c r="AH1993" s="10"/>
    </row>
    <row r="1994" spans="3:34" x14ac:dyDescent="0.35">
      <c r="C1994" s="5"/>
      <c r="D1994" s="5"/>
      <c r="T1994" s="6"/>
      <c r="U1994" s="6"/>
      <c r="V1994" s="6"/>
      <c r="W1994" s="7" t="str">
        <f t="shared" si="62"/>
        <v/>
      </c>
      <c r="X1994" s="8" t="str">
        <f t="shared" si="63"/>
        <v/>
      </c>
      <c r="AG1994" s="9"/>
      <c r="AH1994" s="10"/>
    </row>
    <row r="1995" spans="3:34" x14ac:dyDescent="0.35">
      <c r="C1995" s="5"/>
      <c r="D1995" s="5"/>
      <c r="T1995" s="6"/>
      <c r="U1995" s="6"/>
      <c r="V1995" s="6"/>
      <c r="W1995" s="7" t="str">
        <f t="shared" si="62"/>
        <v/>
      </c>
      <c r="X1995" s="8" t="str">
        <f t="shared" si="63"/>
        <v/>
      </c>
      <c r="AG1995" s="9"/>
      <c r="AH1995" s="10"/>
    </row>
    <row r="1996" spans="3:34" x14ac:dyDescent="0.35">
      <c r="C1996" s="5"/>
      <c r="D1996" s="5"/>
      <c r="T1996" s="6"/>
      <c r="U1996" s="6"/>
      <c r="V1996" s="6"/>
      <c r="W1996" s="7" t="str">
        <f t="shared" si="62"/>
        <v/>
      </c>
      <c r="X1996" s="8" t="str">
        <f t="shared" si="63"/>
        <v/>
      </c>
      <c r="AG1996" s="9"/>
      <c r="AH1996" s="10"/>
    </row>
    <row r="1997" spans="3:34" x14ac:dyDescent="0.35">
      <c r="C1997" s="5"/>
      <c r="D1997" s="5"/>
      <c r="T1997" s="6"/>
      <c r="U1997" s="6"/>
      <c r="V1997" s="6"/>
      <c r="W1997" s="7" t="str">
        <f t="shared" si="62"/>
        <v/>
      </c>
      <c r="X1997" s="8" t="str">
        <f t="shared" si="63"/>
        <v/>
      </c>
      <c r="AG1997" s="9"/>
      <c r="AH1997" s="10"/>
    </row>
    <row r="1998" spans="3:34" x14ac:dyDescent="0.35">
      <c r="C1998" s="5"/>
      <c r="D1998" s="5"/>
      <c r="T1998" s="6"/>
      <c r="U1998" s="6"/>
      <c r="V1998" s="6"/>
      <c r="W1998" s="7" t="str">
        <f t="shared" si="62"/>
        <v/>
      </c>
      <c r="X1998" s="8" t="str">
        <f t="shared" si="63"/>
        <v/>
      </c>
      <c r="AG1998" s="9"/>
      <c r="AH1998" s="10"/>
    </row>
    <row r="1999" spans="3:34" x14ac:dyDescent="0.35">
      <c r="C1999" s="5"/>
      <c r="D1999" s="5"/>
      <c r="T1999" s="6"/>
      <c r="U1999" s="6"/>
      <c r="V1999" s="6"/>
      <c r="W1999" s="7" t="str">
        <f t="shared" si="62"/>
        <v/>
      </c>
      <c r="X1999" s="8" t="str">
        <f t="shared" si="63"/>
        <v/>
      </c>
      <c r="AG1999" s="9"/>
      <c r="AH1999" s="10"/>
    </row>
    <row r="2000" spans="3:34" x14ac:dyDescent="0.35">
      <c r="C2000" s="5"/>
      <c r="D2000" s="5"/>
      <c r="T2000" s="6"/>
      <c r="U2000" s="6"/>
      <c r="V2000" s="6"/>
      <c r="W2000" s="7" t="str">
        <f t="shared" si="62"/>
        <v/>
      </c>
      <c r="X2000" s="8" t="str">
        <f t="shared" si="63"/>
        <v/>
      </c>
      <c r="AG2000" s="9"/>
      <c r="AH2000" s="10"/>
    </row>
  </sheetData>
  <autoFilter ref="A1:AJ2000" xr:uid="{00000000-0009-0000-0000-000001000000}"/>
  <conditionalFormatting sqref="B2:B2000">
    <cfRule type="expression" dxfId="6" priority="4">
      <formula>AND($B2&lt;&gt;"",COUNTIF($B$2:$B$2000,$B2)&gt;1)</formula>
    </cfRule>
  </conditionalFormatting>
  <conditionalFormatting sqref="S2:S2000">
    <cfRule type="cellIs" dxfId="5" priority="2" operator="equal">
      <formula>"Concluído"</formula>
    </cfRule>
    <cfRule type="cellIs" dxfId="4" priority="3" operator="equal">
      <formula>"Em andamento"</formula>
    </cfRule>
  </conditionalFormatting>
  <dataValidations count="16">
    <dataValidation type="list" allowBlank="1" showErrorMessage="1" errorTitle="Valor inválido" error="Selecione um valor da lista." sqref="E2:E2000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F2:F2000" xr:uid="{00000000-0002-0000-0100-000001000000}">
      <formula1>Projetos</formula1>
      <formula2>0</formula2>
    </dataValidation>
    <dataValidation type="list" allowBlank="1" showErrorMessage="1" errorTitle="Valor inválido" error="Selecione um valor da lista." sqref="G2:G2000" xr:uid="{00000000-0002-0000-0100-000002000000}">
      <formula1>INDIRECT(VLOOKUP($F2,MapaTemas,2,0))</formula1>
      <formula2>0</formula2>
    </dataValidation>
    <dataValidation type="list" allowBlank="1" showErrorMessage="1" errorTitle="Valor inválido" error="Selecione um valor da lista." sqref="H2:H2000" xr:uid="{00000000-0002-0000-0100-000003000000}">
      <formula1>Pilares</formula1>
      <formula2>0</formula2>
    </dataValidation>
    <dataValidation type="list" allowBlank="1" showErrorMessage="1" errorTitle="Valor inválido" error="Selecione um valor da lista." sqref="I2:I2000" xr:uid="{00000000-0002-0000-0100-000004000000}">
      <formula1>INDIRECT(VLOOKUP($H2,MapaEnt,2,0))</formula1>
      <formula2>0</formula2>
    </dataValidation>
    <dataValidation type="list" allowBlank="1" showErrorMessage="1" errorTitle="Valor inválido" error="Selecione um valor da lista." sqref="L2:L2000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M2:M2000" xr:uid="{00000000-0002-0000-0100-000006000000}">
      <formula1>INDIRECT(VLOOKUP($L2,MapaPessoas,2,0))</formula1>
      <formula2>0</formula2>
    </dataValidation>
    <dataValidation type="list" allowBlank="1" showErrorMessage="1" errorTitle="Valor inválido" error="Selecione um valor da lista." sqref="N2:N2000 AJ2:AJ2000 AB2:AB2000" xr:uid="{00000000-0002-0000-0100-000007000000}">
      <formula1>SimNao</formula1>
      <formula2>0</formula2>
    </dataValidation>
    <dataValidation type="list" allowBlank="1" showErrorMessage="1" errorTitle="Valor inválido" error="Selecione um valor da lista." sqref="O2:O2000" xr:uid="{00000000-0002-0000-0100-000008000000}">
      <formula1>Papeis</formula1>
      <formula2>0</formula2>
    </dataValidation>
    <dataValidation type="list" allowBlank="1" errorTitle="Valor inválido" error="Selecione um valor da lista." sqref="P2:P2000" xr:uid="{00000000-0002-0000-0100-000009000000}">
      <formula1>EquipePI</formula1>
      <formula2>0</formula2>
    </dataValidation>
    <dataValidation type="list" allowBlank="1" showErrorMessage="1" errorTitle="Valor inválido" error="Selecione um valor da lista." sqref="R2:R2000" xr:uid="{00000000-0002-0000-0100-00000A000000}">
      <formula1>Empresas</formula1>
      <formula2>0</formula2>
    </dataValidation>
    <dataValidation type="list" allowBlank="1" showErrorMessage="1" errorTitle="Valor inválido" error="Selecione um valor da lista." sqref="S2:S2000" xr:uid="{00000000-0002-0000-0100-00000B000000}">
      <formula1>StatusList</formula1>
      <formula2>0</formula2>
    </dataValidation>
    <dataValidation type="list" allowBlank="1" showErrorMessage="1" errorTitle="Valor inválido" error="Selecione um valor da lista." sqref="AC2:AC2000" xr:uid="{00000000-0002-0000-0100-00000D000000}">
      <formula1>Prioridades</formula1>
      <formula2>0</formula2>
    </dataValidation>
    <dataValidation type="list" allowBlank="1" showErrorMessage="1" errorTitle="Valor inválido" error="Selecione um valor da lista." sqref="AD2:AD2000" xr:uid="{00000000-0002-0000-0100-00000E000000}">
      <formula1>Complexidades</formula1>
      <formula2>0</formula2>
    </dataValidation>
    <dataValidation type="list" allowBlank="1" showErrorMessage="1" errorTitle="Valor inválido" error="Selecione um valor da lista." sqref="AE2:AE2000" xr:uid="{00000000-0002-0000-0100-00000F000000}">
      <formula1>Impactos</formula1>
      <formula2>0</formula2>
    </dataValidation>
    <dataValidation type="list" allowBlank="1" showErrorMessage="1" errorTitle="Valor inválido" error="Selecione um valor da lista." sqref="AF2:AF2000" xr:uid="{00000000-0002-0000-0100-000010000000}">
      <formula1>Beneficios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6"/>
  <sheetViews>
    <sheetView showGridLines="0" zoomScaleNormal="100" workbookViewId="0">
      <pane ySplit="2" topLeftCell="A3" activePane="bottomLeft" state="frozen"/>
      <selection pane="bottomLeft" activeCell="A7" sqref="A7:XFD9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1" customWidth="1"/>
    <col min="4" max="4" width="20" customWidth="1"/>
    <col min="5" max="5" width="32" customWidth="1"/>
    <col min="6" max="6" width="18" customWidth="1"/>
    <col min="7" max="7" width="22" customWidth="1"/>
    <col min="8" max="8" width="32" customWidth="1"/>
    <col min="9" max="9" width="24" customWidth="1"/>
    <col min="10" max="10" width="12" customWidth="1"/>
    <col min="11" max="11" width="20" customWidth="1"/>
    <col min="12" max="12" width="13" customWidth="1"/>
    <col min="13" max="13" width="10" customWidth="1"/>
    <col min="14" max="14" width="11" customWidth="1"/>
  </cols>
  <sheetData>
    <row r="1" spans="1:14" x14ac:dyDescent="0.35">
      <c r="A1" s="32" t="s">
        <v>206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 x14ac:dyDescent="0.35">
      <c r="A2" s="2" t="s">
        <v>27</v>
      </c>
      <c r="B2" s="2" t="s">
        <v>207</v>
      </c>
      <c r="C2" s="2" t="s">
        <v>208</v>
      </c>
      <c r="D2" s="2" t="s">
        <v>32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2" t="s">
        <v>214</v>
      </c>
      <c r="K2" s="2" t="s">
        <v>215</v>
      </c>
      <c r="L2" s="2" t="s">
        <v>216</v>
      </c>
      <c r="M2" s="2" t="s">
        <v>217</v>
      </c>
      <c r="N2" s="2" t="s">
        <v>218</v>
      </c>
    </row>
    <row r="3" spans="1:14" x14ac:dyDescent="0.35">
      <c r="A3" t="s">
        <v>63</v>
      </c>
      <c r="B3" t="s">
        <v>219</v>
      </c>
      <c r="C3" t="s">
        <v>143</v>
      </c>
      <c r="D3" t="s">
        <v>144</v>
      </c>
      <c r="E3" t="s">
        <v>146</v>
      </c>
      <c r="F3" t="s">
        <v>220</v>
      </c>
      <c r="G3" t="s">
        <v>137</v>
      </c>
      <c r="H3" t="s">
        <v>221</v>
      </c>
      <c r="I3" t="s">
        <v>222</v>
      </c>
      <c r="J3" t="s">
        <v>74</v>
      </c>
      <c r="L3" s="5">
        <v>46213</v>
      </c>
      <c r="M3" s="11">
        <v>0.8</v>
      </c>
      <c r="N3" s="4">
        <f>IF($C3="","",COUNTIF($C$3:$C$296,$C3))</f>
        <v>2</v>
      </c>
    </row>
    <row r="4" spans="1:14" x14ac:dyDescent="0.35">
      <c r="A4" t="s">
        <v>63</v>
      </c>
      <c r="B4" t="s">
        <v>223</v>
      </c>
      <c r="C4" t="s">
        <v>143</v>
      </c>
      <c r="D4" t="s">
        <v>144</v>
      </c>
      <c r="E4" t="s">
        <v>146</v>
      </c>
      <c r="F4" t="s">
        <v>224</v>
      </c>
      <c r="G4" t="s">
        <v>225</v>
      </c>
      <c r="H4" t="s">
        <v>226</v>
      </c>
      <c r="I4" t="s">
        <v>227</v>
      </c>
      <c r="J4" t="s">
        <v>81</v>
      </c>
      <c r="K4" t="s">
        <v>136</v>
      </c>
      <c r="L4" s="5">
        <v>46220</v>
      </c>
      <c r="M4" s="11">
        <v>0.85</v>
      </c>
      <c r="N4" s="4">
        <f>IF($C4="","",COUNTIF($C$3:$C$296,$C4))</f>
        <v>2</v>
      </c>
    </row>
    <row r="5" spans="1:14" x14ac:dyDescent="0.35">
      <c r="A5" t="s">
        <v>63</v>
      </c>
      <c r="B5" t="s">
        <v>223</v>
      </c>
      <c r="C5" t="s">
        <v>129</v>
      </c>
      <c r="D5" t="s">
        <v>130</v>
      </c>
      <c r="E5" t="s">
        <v>134</v>
      </c>
      <c r="F5" t="s">
        <v>220</v>
      </c>
      <c r="G5" t="s">
        <v>137</v>
      </c>
      <c r="H5" t="s">
        <v>228</v>
      </c>
      <c r="I5" t="s">
        <v>229</v>
      </c>
      <c r="J5" t="s">
        <v>74</v>
      </c>
      <c r="L5" s="5">
        <v>46220</v>
      </c>
      <c r="M5" s="11">
        <v>0.9</v>
      </c>
      <c r="N5" s="4">
        <f>IF($C5="","",COUNTIF($C$3:$C$296,$C5))</f>
        <v>1</v>
      </c>
    </row>
    <row r="6" spans="1:14" x14ac:dyDescent="0.35">
      <c r="A6" t="s">
        <v>63</v>
      </c>
      <c r="B6" t="s">
        <v>223</v>
      </c>
      <c r="C6" t="s">
        <v>154</v>
      </c>
      <c r="D6" t="s">
        <v>144</v>
      </c>
      <c r="E6" t="s">
        <v>156</v>
      </c>
      <c r="F6" t="s">
        <v>224</v>
      </c>
      <c r="G6" t="s">
        <v>230</v>
      </c>
      <c r="H6" t="s">
        <v>231</v>
      </c>
      <c r="I6" t="s">
        <v>232</v>
      </c>
      <c r="J6" t="s">
        <v>81</v>
      </c>
      <c r="K6" t="s">
        <v>233</v>
      </c>
      <c r="L6" s="5">
        <v>46227</v>
      </c>
      <c r="M6" s="11">
        <v>0.7</v>
      </c>
      <c r="N6" s="4">
        <f>IF($C6="","",COUNTIF($C$3:$C$296,$C6))</f>
        <v>1</v>
      </c>
    </row>
    <row r="7" spans="1:14" x14ac:dyDescent="0.35">
      <c r="L7" s="5"/>
      <c r="M7" s="11"/>
      <c r="N7" s="4" t="str">
        <f>IF($C7="","",COUNTIF($C$3:$C$296,$C7))</f>
        <v/>
      </c>
    </row>
    <row r="8" spans="1:14" x14ac:dyDescent="0.35">
      <c r="L8" s="5"/>
      <c r="M8" s="11"/>
      <c r="N8" s="4" t="str">
        <f>IF($C8="","",COUNTIF($C$3:$C$296,$C8))</f>
        <v/>
      </c>
    </row>
    <row r="9" spans="1:14" x14ac:dyDescent="0.35">
      <c r="L9" s="5"/>
      <c r="M9" s="11"/>
      <c r="N9" s="4" t="str">
        <f>IF($C9="","",COUNTIF($C$3:$C$296,$C9))</f>
        <v/>
      </c>
    </row>
    <row r="10" spans="1:14" x14ac:dyDescent="0.35">
      <c r="L10" s="5"/>
      <c r="M10" s="11"/>
      <c r="N10" s="4" t="str">
        <f>IF($C10="","",COUNTIF($C$3:$C$296,$C10))</f>
        <v/>
      </c>
    </row>
    <row r="11" spans="1:14" x14ac:dyDescent="0.35">
      <c r="L11" s="5"/>
      <c r="M11" s="11"/>
      <c r="N11" s="4" t="str">
        <f>IF($C11="","",COUNTIF($C$3:$C$296,$C11))</f>
        <v/>
      </c>
    </row>
    <row r="12" spans="1:14" x14ac:dyDescent="0.35">
      <c r="L12" s="5"/>
      <c r="M12" s="11"/>
      <c r="N12" s="4" t="str">
        <f>IF($C12="","",COUNTIF($C$3:$C$296,$C12))</f>
        <v/>
      </c>
    </row>
    <row r="13" spans="1:14" x14ac:dyDescent="0.35">
      <c r="L13" s="5"/>
      <c r="M13" s="11"/>
      <c r="N13" s="4" t="str">
        <f>IF($C13="","",COUNTIF($C$3:$C$296,$C13))</f>
        <v/>
      </c>
    </row>
    <row r="14" spans="1:14" x14ac:dyDescent="0.35">
      <c r="L14" s="5"/>
      <c r="M14" s="11"/>
      <c r="N14" s="4" t="str">
        <f>IF($C14="","",COUNTIF($C$3:$C$296,$C14))</f>
        <v/>
      </c>
    </row>
    <row r="15" spans="1:14" x14ac:dyDescent="0.35">
      <c r="L15" s="5"/>
      <c r="M15" s="11"/>
      <c r="N15" s="4" t="str">
        <f>IF($C15="","",COUNTIF($C$3:$C$296,$C15))</f>
        <v/>
      </c>
    </row>
    <row r="16" spans="1:14" x14ac:dyDescent="0.35">
      <c r="L16" s="5"/>
      <c r="M16" s="11"/>
      <c r="N16" s="4" t="str">
        <f>IF($C16="","",COUNTIF($C$3:$C$296,$C16))</f>
        <v/>
      </c>
    </row>
    <row r="17" spans="12:14" x14ac:dyDescent="0.35">
      <c r="L17" s="5"/>
      <c r="M17" s="11"/>
      <c r="N17" s="4" t="str">
        <f>IF($C17="","",COUNTIF($C$3:$C$296,$C17))</f>
        <v/>
      </c>
    </row>
    <row r="18" spans="12:14" x14ac:dyDescent="0.35">
      <c r="L18" s="5"/>
      <c r="M18" s="11"/>
      <c r="N18" s="4" t="str">
        <f>IF($C18="","",COUNTIF($C$3:$C$296,$C18))</f>
        <v/>
      </c>
    </row>
    <row r="19" spans="12:14" x14ac:dyDescent="0.35">
      <c r="L19" s="5"/>
      <c r="M19" s="11"/>
      <c r="N19" s="4" t="str">
        <f>IF($C19="","",COUNTIF($C$3:$C$296,$C19))</f>
        <v/>
      </c>
    </row>
    <row r="20" spans="12:14" x14ac:dyDescent="0.35">
      <c r="L20" s="5"/>
      <c r="M20" s="11"/>
      <c r="N20" s="4" t="str">
        <f>IF($C20="","",COUNTIF($C$3:$C$296,$C20))</f>
        <v/>
      </c>
    </row>
    <row r="21" spans="12:14" x14ac:dyDescent="0.35">
      <c r="L21" s="5"/>
      <c r="M21" s="11"/>
      <c r="N21" s="4" t="str">
        <f>IF($C21="","",COUNTIF($C$3:$C$296,$C21))</f>
        <v/>
      </c>
    </row>
    <row r="22" spans="12:14" x14ac:dyDescent="0.35">
      <c r="L22" s="5"/>
      <c r="M22" s="11"/>
      <c r="N22" s="4" t="str">
        <f>IF($C22="","",COUNTIF($C$3:$C$296,$C22))</f>
        <v/>
      </c>
    </row>
    <row r="23" spans="12:14" x14ac:dyDescent="0.35">
      <c r="L23" s="5"/>
      <c r="M23" s="11"/>
      <c r="N23" s="4" t="str">
        <f>IF($C23="","",COUNTIF($C$3:$C$296,$C23))</f>
        <v/>
      </c>
    </row>
    <row r="24" spans="12:14" x14ac:dyDescent="0.35">
      <c r="L24" s="5"/>
      <c r="M24" s="11"/>
      <c r="N24" s="4" t="str">
        <f>IF($C24="","",COUNTIF($C$3:$C$296,$C24))</f>
        <v/>
      </c>
    </row>
    <row r="25" spans="12:14" x14ac:dyDescent="0.35">
      <c r="L25" s="5"/>
      <c r="M25" s="11"/>
      <c r="N25" s="4" t="str">
        <f>IF($C25="","",COUNTIF($C$3:$C$296,$C25))</f>
        <v/>
      </c>
    </row>
    <row r="26" spans="12:14" x14ac:dyDescent="0.35">
      <c r="L26" s="5"/>
      <c r="M26" s="11"/>
      <c r="N26" s="4" t="str">
        <f>IF($C26="","",COUNTIF($C$3:$C$296,$C26))</f>
        <v/>
      </c>
    </row>
    <row r="27" spans="12:14" x14ac:dyDescent="0.35">
      <c r="L27" s="5"/>
      <c r="M27" s="11"/>
      <c r="N27" s="4" t="str">
        <f>IF($C27="","",COUNTIF($C$3:$C$296,$C27))</f>
        <v/>
      </c>
    </row>
    <row r="28" spans="12:14" x14ac:dyDescent="0.35">
      <c r="L28" s="5"/>
      <c r="M28" s="11"/>
      <c r="N28" s="4" t="str">
        <f>IF($C28="","",COUNTIF($C$3:$C$296,$C28))</f>
        <v/>
      </c>
    </row>
    <row r="29" spans="12:14" x14ac:dyDescent="0.35">
      <c r="L29" s="5"/>
      <c r="M29" s="11"/>
      <c r="N29" s="4" t="str">
        <f>IF($C29="","",COUNTIF($C$3:$C$296,$C29))</f>
        <v/>
      </c>
    </row>
    <row r="30" spans="12:14" x14ac:dyDescent="0.35">
      <c r="L30" s="5"/>
      <c r="M30" s="11"/>
      <c r="N30" s="4" t="str">
        <f>IF($C30="","",COUNTIF($C$3:$C$296,$C30))</f>
        <v/>
      </c>
    </row>
    <row r="31" spans="12:14" x14ac:dyDescent="0.35">
      <c r="L31" s="5"/>
      <c r="M31" s="11"/>
      <c r="N31" s="4" t="str">
        <f>IF($C31="","",COUNTIF($C$3:$C$296,$C31))</f>
        <v/>
      </c>
    </row>
    <row r="32" spans="12:14" x14ac:dyDescent="0.35">
      <c r="L32" s="5"/>
      <c r="M32" s="11"/>
      <c r="N32" s="4" t="str">
        <f>IF($C32="","",COUNTIF($C$3:$C$296,$C32))</f>
        <v/>
      </c>
    </row>
    <row r="33" spans="12:14" x14ac:dyDescent="0.35">
      <c r="L33" s="5"/>
      <c r="M33" s="11"/>
      <c r="N33" s="4" t="str">
        <f>IF($C33="","",COUNTIF($C$3:$C$296,$C33))</f>
        <v/>
      </c>
    </row>
    <row r="34" spans="12:14" x14ac:dyDescent="0.35">
      <c r="L34" s="5"/>
      <c r="M34" s="11"/>
      <c r="N34" s="4" t="str">
        <f>IF($C34="","",COUNTIF($C$3:$C$296,$C34))</f>
        <v/>
      </c>
    </row>
    <row r="35" spans="12:14" x14ac:dyDescent="0.35">
      <c r="L35" s="5"/>
      <c r="M35" s="11"/>
      <c r="N35" s="4" t="str">
        <f>IF($C35="","",COUNTIF($C$3:$C$296,$C35))</f>
        <v/>
      </c>
    </row>
    <row r="36" spans="12:14" x14ac:dyDescent="0.35">
      <c r="L36" s="5"/>
      <c r="M36" s="11"/>
      <c r="N36" s="4" t="str">
        <f>IF($C36="","",COUNTIF($C$3:$C$296,$C36))</f>
        <v/>
      </c>
    </row>
    <row r="37" spans="12:14" x14ac:dyDescent="0.35">
      <c r="L37" s="5"/>
      <c r="M37" s="11"/>
      <c r="N37" s="4" t="str">
        <f>IF($C37="","",COUNTIF($C$3:$C$296,$C37))</f>
        <v/>
      </c>
    </row>
    <row r="38" spans="12:14" x14ac:dyDescent="0.35">
      <c r="L38" s="5"/>
      <c r="M38" s="11"/>
      <c r="N38" s="4" t="str">
        <f>IF($C38="","",COUNTIF($C$3:$C$296,$C38))</f>
        <v/>
      </c>
    </row>
    <row r="39" spans="12:14" x14ac:dyDescent="0.35">
      <c r="L39" s="5"/>
      <c r="M39" s="11"/>
      <c r="N39" s="4" t="str">
        <f>IF($C39="","",COUNTIF($C$3:$C$296,$C39))</f>
        <v/>
      </c>
    </row>
    <row r="40" spans="12:14" x14ac:dyDescent="0.35">
      <c r="L40" s="5"/>
      <c r="M40" s="11"/>
      <c r="N40" s="4" t="str">
        <f>IF($C40="","",COUNTIF($C$3:$C$296,$C40))</f>
        <v/>
      </c>
    </row>
    <row r="41" spans="12:14" x14ac:dyDescent="0.35">
      <c r="L41" s="5"/>
      <c r="M41" s="11"/>
      <c r="N41" s="4" t="str">
        <f>IF($C41="","",COUNTIF($C$3:$C$296,$C41))</f>
        <v/>
      </c>
    </row>
    <row r="42" spans="12:14" x14ac:dyDescent="0.35">
      <c r="L42" s="5"/>
      <c r="M42" s="11"/>
      <c r="N42" s="4" t="str">
        <f>IF($C42="","",COUNTIF($C$3:$C$296,$C42))</f>
        <v/>
      </c>
    </row>
    <row r="43" spans="12:14" x14ac:dyDescent="0.35">
      <c r="L43" s="5"/>
      <c r="M43" s="11"/>
      <c r="N43" s="4" t="str">
        <f>IF($C43="","",COUNTIF($C$3:$C$296,$C43))</f>
        <v/>
      </c>
    </row>
    <row r="44" spans="12:14" x14ac:dyDescent="0.35">
      <c r="L44" s="5"/>
      <c r="M44" s="11"/>
      <c r="N44" s="4" t="str">
        <f>IF($C44="","",COUNTIF($C$3:$C$296,$C44))</f>
        <v/>
      </c>
    </row>
    <row r="45" spans="12:14" x14ac:dyDescent="0.35">
      <c r="L45" s="5"/>
      <c r="M45" s="11"/>
      <c r="N45" s="4" t="str">
        <f>IF($C45="","",COUNTIF($C$3:$C$296,$C45))</f>
        <v/>
      </c>
    </row>
    <row r="46" spans="12:14" x14ac:dyDescent="0.35">
      <c r="L46" s="5"/>
      <c r="M46" s="11"/>
      <c r="N46" s="4" t="str">
        <f>IF($C46="","",COUNTIF($C$3:$C$296,$C46))</f>
        <v/>
      </c>
    </row>
    <row r="47" spans="12:14" x14ac:dyDescent="0.35">
      <c r="L47" s="5"/>
      <c r="M47" s="11"/>
      <c r="N47" s="4" t="str">
        <f>IF($C47="","",COUNTIF($C$3:$C$296,$C47))</f>
        <v/>
      </c>
    </row>
    <row r="48" spans="12:14" x14ac:dyDescent="0.35">
      <c r="L48" s="5"/>
      <c r="M48" s="11"/>
      <c r="N48" s="4" t="str">
        <f>IF($C48="","",COUNTIF($C$3:$C$296,$C48))</f>
        <v/>
      </c>
    </row>
    <row r="49" spans="12:14" x14ac:dyDescent="0.35">
      <c r="L49" s="5"/>
      <c r="M49" s="11"/>
      <c r="N49" s="4" t="str">
        <f>IF($C49="","",COUNTIF($C$3:$C$296,$C49))</f>
        <v/>
      </c>
    </row>
    <row r="50" spans="12:14" x14ac:dyDescent="0.35">
      <c r="L50" s="5"/>
      <c r="M50" s="11"/>
      <c r="N50" s="4" t="str">
        <f>IF($C50="","",COUNTIF($C$3:$C$296,$C50))</f>
        <v/>
      </c>
    </row>
    <row r="51" spans="12:14" x14ac:dyDescent="0.35">
      <c r="L51" s="5"/>
      <c r="M51" s="11"/>
      <c r="N51" s="4" t="str">
        <f>IF($C51="","",COUNTIF($C$3:$C$296,$C51))</f>
        <v/>
      </c>
    </row>
    <row r="52" spans="12:14" x14ac:dyDescent="0.35">
      <c r="L52" s="5"/>
      <c r="M52" s="11"/>
      <c r="N52" s="4" t="str">
        <f>IF($C52="","",COUNTIF($C$3:$C$296,$C52))</f>
        <v/>
      </c>
    </row>
    <row r="53" spans="12:14" x14ac:dyDescent="0.35">
      <c r="L53" s="5"/>
      <c r="M53" s="11"/>
      <c r="N53" s="4" t="str">
        <f>IF($C53="","",COUNTIF($C$3:$C$296,$C53))</f>
        <v/>
      </c>
    </row>
    <row r="54" spans="12:14" x14ac:dyDescent="0.35">
      <c r="L54" s="5"/>
      <c r="M54" s="11"/>
      <c r="N54" s="4" t="str">
        <f>IF($C54="","",COUNTIF($C$3:$C$296,$C54))</f>
        <v/>
      </c>
    </row>
    <row r="55" spans="12:14" x14ac:dyDescent="0.35">
      <c r="L55" s="5"/>
      <c r="M55" s="11"/>
      <c r="N55" s="4" t="str">
        <f>IF($C55="","",COUNTIF($C$3:$C$296,$C55))</f>
        <v/>
      </c>
    </row>
    <row r="56" spans="12:14" x14ac:dyDescent="0.35">
      <c r="L56" s="5"/>
      <c r="M56" s="11"/>
      <c r="N56" s="4" t="str">
        <f>IF($C56="","",COUNTIF($C$3:$C$296,$C56))</f>
        <v/>
      </c>
    </row>
    <row r="57" spans="12:14" x14ac:dyDescent="0.35">
      <c r="L57" s="5"/>
      <c r="M57" s="11"/>
      <c r="N57" s="4" t="str">
        <f>IF($C57="","",COUNTIF($C$3:$C$296,$C57))</f>
        <v/>
      </c>
    </row>
    <row r="58" spans="12:14" x14ac:dyDescent="0.35">
      <c r="L58" s="5"/>
      <c r="M58" s="11"/>
      <c r="N58" s="4" t="str">
        <f>IF($C58="","",COUNTIF($C$3:$C$296,$C58))</f>
        <v/>
      </c>
    </row>
    <row r="59" spans="12:14" x14ac:dyDescent="0.35">
      <c r="L59" s="5"/>
      <c r="M59" s="11"/>
      <c r="N59" s="4" t="str">
        <f>IF($C59="","",COUNTIF($C$3:$C$296,$C59))</f>
        <v/>
      </c>
    </row>
    <row r="60" spans="12:14" x14ac:dyDescent="0.35">
      <c r="L60" s="5"/>
      <c r="M60" s="11"/>
      <c r="N60" s="4" t="str">
        <f>IF($C60="","",COUNTIF($C$3:$C$296,$C60))</f>
        <v/>
      </c>
    </row>
    <row r="61" spans="12:14" x14ac:dyDescent="0.35">
      <c r="L61" s="5"/>
      <c r="M61" s="11"/>
      <c r="N61" s="4" t="str">
        <f>IF($C61="","",COUNTIF($C$3:$C$296,$C61))</f>
        <v/>
      </c>
    </row>
    <row r="62" spans="12:14" x14ac:dyDescent="0.35">
      <c r="L62" s="5"/>
      <c r="M62" s="11"/>
      <c r="N62" s="4" t="str">
        <f>IF($C62="","",COUNTIF($C$3:$C$296,$C62))</f>
        <v/>
      </c>
    </row>
    <row r="63" spans="12:14" x14ac:dyDescent="0.35">
      <c r="L63" s="5"/>
      <c r="M63" s="11"/>
      <c r="N63" s="4" t="str">
        <f>IF($C63="","",COUNTIF($C$3:$C$296,$C63))</f>
        <v/>
      </c>
    </row>
    <row r="64" spans="12:14" x14ac:dyDescent="0.35">
      <c r="L64" s="5"/>
      <c r="M64" s="11"/>
      <c r="N64" s="4" t="str">
        <f>IF($C64="","",COUNTIF($C$3:$C$296,$C64))</f>
        <v/>
      </c>
    </row>
    <row r="65" spans="12:14" x14ac:dyDescent="0.35">
      <c r="L65" s="5"/>
      <c r="M65" s="11"/>
      <c r="N65" s="4" t="str">
        <f>IF($C65="","",COUNTIF($C$3:$C$296,$C65))</f>
        <v/>
      </c>
    </row>
    <row r="66" spans="12:14" x14ac:dyDescent="0.35">
      <c r="L66" s="5"/>
      <c r="M66" s="11"/>
      <c r="N66" s="4" t="str">
        <f>IF($C66="","",COUNTIF($C$3:$C$296,$C66))</f>
        <v/>
      </c>
    </row>
    <row r="67" spans="12:14" x14ac:dyDescent="0.35">
      <c r="L67" s="5"/>
      <c r="M67" s="11"/>
      <c r="N67" s="4" t="str">
        <f>IF($C67="","",COUNTIF($C$3:$C$296,$C67))</f>
        <v/>
      </c>
    </row>
    <row r="68" spans="12:14" x14ac:dyDescent="0.35">
      <c r="L68" s="5"/>
      <c r="M68" s="11"/>
      <c r="N68" s="4" t="str">
        <f>IF($C68="","",COUNTIF($C$3:$C$296,$C68))</f>
        <v/>
      </c>
    </row>
    <row r="69" spans="12:14" x14ac:dyDescent="0.35">
      <c r="L69" s="5"/>
      <c r="M69" s="11"/>
      <c r="N69" s="4" t="str">
        <f>IF($C69="","",COUNTIF($C$3:$C$296,$C69))</f>
        <v/>
      </c>
    </row>
    <row r="70" spans="12:14" x14ac:dyDescent="0.35">
      <c r="L70" s="5"/>
      <c r="M70" s="11"/>
      <c r="N70" s="4" t="str">
        <f>IF($C70="","",COUNTIF($C$3:$C$296,$C70))</f>
        <v/>
      </c>
    </row>
    <row r="71" spans="12:14" x14ac:dyDescent="0.35">
      <c r="L71" s="5"/>
      <c r="M71" s="11"/>
      <c r="N71" s="4" t="str">
        <f>IF($C71="","",COUNTIF($C$3:$C$296,$C71))</f>
        <v/>
      </c>
    </row>
    <row r="72" spans="12:14" x14ac:dyDescent="0.35">
      <c r="L72" s="5"/>
      <c r="M72" s="11"/>
      <c r="N72" s="4" t="str">
        <f>IF($C72="","",COUNTIF($C$3:$C$296,$C72))</f>
        <v/>
      </c>
    </row>
    <row r="73" spans="12:14" x14ac:dyDescent="0.35">
      <c r="L73" s="5"/>
      <c r="M73" s="11"/>
      <c r="N73" s="4" t="str">
        <f>IF($C73="","",COUNTIF($C$3:$C$296,$C73))</f>
        <v/>
      </c>
    </row>
    <row r="74" spans="12:14" x14ac:dyDescent="0.35">
      <c r="L74" s="5"/>
      <c r="M74" s="11"/>
      <c r="N74" s="4" t="str">
        <f>IF($C74="","",COUNTIF($C$3:$C$296,$C74))</f>
        <v/>
      </c>
    </row>
    <row r="75" spans="12:14" x14ac:dyDescent="0.35">
      <c r="L75" s="5"/>
      <c r="M75" s="11"/>
      <c r="N75" s="4" t="str">
        <f>IF($C75="","",COUNTIF($C$3:$C$296,$C75))</f>
        <v/>
      </c>
    </row>
    <row r="76" spans="12:14" x14ac:dyDescent="0.35">
      <c r="L76" s="5"/>
      <c r="M76" s="11"/>
      <c r="N76" s="4" t="str">
        <f>IF($C76="","",COUNTIF($C$3:$C$296,$C76))</f>
        <v/>
      </c>
    </row>
    <row r="77" spans="12:14" x14ac:dyDescent="0.35">
      <c r="L77" s="5"/>
      <c r="M77" s="11"/>
      <c r="N77" s="4" t="str">
        <f>IF($C77="","",COUNTIF($C$3:$C$296,$C77))</f>
        <v/>
      </c>
    </row>
    <row r="78" spans="12:14" x14ac:dyDescent="0.35">
      <c r="L78" s="5"/>
      <c r="M78" s="11"/>
      <c r="N78" s="4" t="str">
        <f>IF($C78="","",COUNTIF($C$3:$C$296,$C78))</f>
        <v/>
      </c>
    </row>
    <row r="79" spans="12:14" x14ac:dyDescent="0.35">
      <c r="L79" s="5"/>
      <c r="M79" s="11"/>
      <c r="N79" s="4" t="str">
        <f>IF($C79="","",COUNTIF($C$3:$C$296,$C79))</f>
        <v/>
      </c>
    </row>
    <row r="80" spans="12:14" x14ac:dyDescent="0.35">
      <c r="L80" s="5"/>
      <c r="M80" s="11"/>
      <c r="N80" s="4" t="str">
        <f>IF($C80="","",COUNTIF($C$3:$C$296,$C80))</f>
        <v/>
      </c>
    </row>
    <row r="81" spans="12:14" x14ac:dyDescent="0.35">
      <c r="L81" s="5"/>
      <c r="M81" s="11"/>
      <c r="N81" s="4" t="str">
        <f>IF($C81="","",COUNTIF($C$3:$C$296,$C81))</f>
        <v/>
      </c>
    </row>
    <row r="82" spans="12:14" x14ac:dyDescent="0.35">
      <c r="L82" s="5"/>
      <c r="M82" s="11"/>
      <c r="N82" s="4" t="str">
        <f>IF($C82="","",COUNTIF($C$3:$C$296,$C82))</f>
        <v/>
      </c>
    </row>
    <row r="83" spans="12:14" x14ac:dyDescent="0.35">
      <c r="L83" s="5"/>
      <c r="M83" s="11"/>
      <c r="N83" s="4" t="str">
        <f>IF($C83="","",COUNTIF($C$3:$C$296,$C83))</f>
        <v/>
      </c>
    </row>
    <row r="84" spans="12:14" x14ac:dyDescent="0.35">
      <c r="L84" s="5"/>
      <c r="M84" s="11"/>
      <c r="N84" s="4" t="str">
        <f>IF($C84="","",COUNTIF($C$3:$C$296,$C84))</f>
        <v/>
      </c>
    </row>
    <row r="85" spans="12:14" x14ac:dyDescent="0.35">
      <c r="L85" s="5"/>
      <c r="M85" s="11"/>
      <c r="N85" s="4" t="str">
        <f>IF($C85="","",COUNTIF($C$3:$C$296,$C85))</f>
        <v/>
      </c>
    </row>
    <row r="86" spans="12:14" x14ac:dyDescent="0.35">
      <c r="L86" s="5"/>
      <c r="M86" s="11"/>
      <c r="N86" s="4" t="str">
        <f>IF($C86="","",COUNTIF($C$3:$C$296,$C86))</f>
        <v/>
      </c>
    </row>
    <row r="87" spans="12:14" x14ac:dyDescent="0.35">
      <c r="L87" s="5"/>
      <c r="M87" s="11"/>
      <c r="N87" s="4" t="str">
        <f>IF($C87="","",COUNTIF($C$3:$C$296,$C87))</f>
        <v/>
      </c>
    </row>
    <row r="88" spans="12:14" x14ac:dyDescent="0.35">
      <c r="L88" s="5"/>
      <c r="M88" s="11"/>
      <c r="N88" s="4" t="str">
        <f>IF($C88="","",COUNTIF($C$3:$C$296,$C88))</f>
        <v/>
      </c>
    </row>
    <row r="89" spans="12:14" x14ac:dyDescent="0.35">
      <c r="L89" s="5"/>
      <c r="M89" s="11"/>
      <c r="N89" s="4" t="str">
        <f>IF($C89="","",COUNTIF($C$3:$C$296,$C89))</f>
        <v/>
      </c>
    </row>
    <row r="90" spans="12:14" x14ac:dyDescent="0.35">
      <c r="L90" s="5"/>
      <c r="M90" s="11"/>
      <c r="N90" s="4" t="str">
        <f>IF($C90="","",COUNTIF($C$3:$C$296,$C90))</f>
        <v/>
      </c>
    </row>
    <row r="91" spans="12:14" x14ac:dyDescent="0.35">
      <c r="L91" s="5"/>
      <c r="M91" s="11"/>
      <c r="N91" s="4" t="str">
        <f>IF($C91="","",COUNTIF($C$3:$C$296,$C91))</f>
        <v/>
      </c>
    </row>
    <row r="92" spans="12:14" x14ac:dyDescent="0.35">
      <c r="L92" s="5"/>
      <c r="M92" s="11"/>
      <c r="N92" s="4" t="str">
        <f>IF($C92="","",COUNTIF($C$3:$C$296,$C92))</f>
        <v/>
      </c>
    </row>
    <row r="93" spans="12:14" x14ac:dyDescent="0.35">
      <c r="L93" s="5"/>
      <c r="M93" s="11"/>
      <c r="N93" s="4" t="str">
        <f>IF($C93="","",COUNTIF($C$3:$C$296,$C93))</f>
        <v/>
      </c>
    </row>
    <row r="94" spans="12:14" x14ac:dyDescent="0.35">
      <c r="L94" s="5"/>
      <c r="M94" s="11"/>
      <c r="N94" s="4" t="str">
        <f>IF($C94="","",COUNTIF($C$3:$C$296,$C94))</f>
        <v/>
      </c>
    </row>
    <row r="95" spans="12:14" x14ac:dyDescent="0.35">
      <c r="L95" s="5"/>
      <c r="M95" s="11"/>
      <c r="N95" s="4" t="str">
        <f>IF($C95="","",COUNTIF($C$3:$C$296,$C95))</f>
        <v/>
      </c>
    </row>
    <row r="96" spans="12:14" x14ac:dyDescent="0.35">
      <c r="L96" s="5"/>
      <c r="M96" s="11"/>
      <c r="N96" s="4" t="str">
        <f>IF($C96="","",COUNTIF($C$3:$C$296,$C96))</f>
        <v/>
      </c>
    </row>
    <row r="97" spans="12:14" x14ac:dyDescent="0.35">
      <c r="L97" s="5"/>
      <c r="M97" s="11"/>
      <c r="N97" s="4" t="str">
        <f>IF($C97="","",COUNTIF($C$3:$C$296,$C97))</f>
        <v/>
      </c>
    </row>
    <row r="98" spans="12:14" x14ac:dyDescent="0.35">
      <c r="L98" s="5"/>
      <c r="M98" s="11"/>
      <c r="N98" s="4" t="str">
        <f>IF($C98="","",COUNTIF($C$3:$C$296,$C98))</f>
        <v/>
      </c>
    </row>
    <row r="99" spans="12:14" x14ac:dyDescent="0.35">
      <c r="L99" s="5"/>
      <c r="M99" s="11"/>
      <c r="N99" s="4" t="str">
        <f>IF($C99="","",COUNTIF($C$3:$C$296,$C99))</f>
        <v/>
      </c>
    </row>
    <row r="100" spans="12:14" x14ac:dyDescent="0.35">
      <c r="L100" s="5"/>
      <c r="M100" s="11"/>
      <c r="N100" s="4" t="str">
        <f>IF($C100="","",COUNTIF($C$3:$C$296,$C100))</f>
        <v/>
      </c>
    </row>
    <row r="101" spans="12:14" x14ac:dyDescent="0.35">
      <c r="L101" s="5"/>
      <c r="M101" s="11"/>
      <c r="N101" s="4" t="str">
        <f>IF($C101="","",COUNTIF($C$3:$C$296,$C101))</f>
        <v/>
      </c>
    </row>
    <row r="102" spans="12:14" x14ac:dyDescent="0.35">
      <c r="L102" s="5"/>
      <c r="M102" s="11"/>
      <c r="N102" s="4" t="str">
        <f>IF($C102="","",COUNTIF($C$3:$C$296,$C102))</f>
        <v/>
      </c>
    </row>
    <row r="103" spans="12:14" x14ac:dyDescent="0.35">
      <c r="L103" s="5"/>
      <c r="M103" s="11"/>
      <c r="N103" s="4" t="str">
        <f>IF($C103="","",COUNTIF($C$3:$C$296,$C103))</f>
        <v/>
      </c>
    </row>
    <row r="104" spans="12:14" x14ac:dyDescent="0.35">
      <c r="L104" s="5"/>
      <c r="M104" s="11"/>
      <c r="N104" s="4" t="str">
        <f>IF($C104="","",COUNTIF($C$3:$C$296,$C104))</f>
        <v/>
      </c>
    </row>
    <row r="105" spans="12:14" x14ac:dyDescent="0.35">
      <c r="L105" s="5"/>
      <c r="M105" s="11"/>
      <c r="N105" s="4" t="str">
        <f>IF($C105="","",COUNTIF($C$3:$C$296,$C105))</f>
        <v/>
      </c>
    </row>
    <row r="106" spans="12:14" x14ac:dyDescent="0.35">
      <c r="L106" s="5"/>
      <c r="M106" s="11"/>
      <c r="N106" s="4" t="str">
        <f>IF($C106="","",COUNTIF($C$3:$C$296,$C106))</f>
        <v/>
      </c>
    </row>
    <row r="107" spans="12:14" x14ac:dyDescent="0.35">
      <c r="L107" s="5"/>
      <c r="M107" s="11"/>
      <c r="N107" s="4" t="str">
        <f>IF($C107="","",COUNTIF($C$3:$C$296,$C107))</f>
        <v/>
      </c>
    </row>
    <row r="108" spans="12:14" x14ac:dyDescent="0.35">
      <c r="L108" s="5"/>
      <c r="M108" s="11"/>
      <c r="N108" s="4" t="str">
        <f>IF($C108="","",COUNTIF($C$3:$C$296,$C108))</f>
        <v/>
      </c>
    </row>
    <row r="109" spans="12:14" x14ac:dyDescent="0.35">
      <c r="L109" s="5"/>
      <c r="M109" s="11"/>
      <c r="N109" s="4" t="str">
        <f>IF($C109="","",COUNTIF($C$3:$C$296,$C109))</f>
        <v/>
      </c>
    </row>
    <row r="110" spans="12:14" x14ac:dyDescent="0.35">
      <c r="L110" s="5"/>
      <c r="M110" s="11"/>
      <c r="N110" s="4" t="str">
        <f>IF($C110="","",COUNTIF($C$3:$C$296,$C110))</f>
        <v/>
      </c>
    </row>
    <row r="111" spans="12:14" x14ac:dyDescent="0.35">
      <c r="L111" s="5"/>
      <c r="M111" s="11"/>
      <c r="N111" s="4" t="str">
        <f>IF($C111="","",COUNTIF($C$3:$C$296,$C111))</f>
        <v/>
      </c>
    </row>
    <row r="112" spans="12:14" x14ac:dyDescent="0.35">
      <c r="L112" s="5"/>
      <c r="M112" s="11"/>
      <c r="N112" s="4" t="str">
        <f>IF($C112="","",COUNTIF($C$3:$C$296,$C112))</f>
        <v/>
      </c>
    </row>
    <row r="113" spans="12:14" x14ac:dyDescent="0.35">
      <c r="L113" s="5"/>
      <c r="M113" s="11"/>
      <c r="N113" s="4" t="str">
        <f>IF($C113="","",COUNTIF($C$3:$C$296,$C113))</f>
        <v/>
      </c>
    </row>
    <row r="114" spans="12:14" x14ac:dyDescent="0.35">
      <c r="L114" s="5"/>
      <c r="M114" s="11"/>
      <c r="N114" s="4" t="str">
        <f>IF($C114="","",COUNTIF($C$3:$C$296,$C114))</f>
        <v/>
      </c>
    </row>
    <row r="115" spans="12:14" x14ac:dyDescent="0.35">
      <c r="L115" s="5"/>
      <c r="M115" s="11"/>
      <c r="N115" s="4" t="str">
        <f>IF($C115="","",COUNTIF($C$3:$C$296,$C115))</f>
        <v/>
      </c>
    </row>
    <row r="116" spans="12:14" x14ac:dyDescent="0.35">
      <c r="L116" s="5"/>
      <c r="M116" s="11"/>
      <c r="N116" s="4" t="str">
        <f>IF($C116="","",COUNTIF($C$3:$C$296,$C116))</f>
        <v/>
      </c>
    </row>
    <row r="117" spans="12:14" x14ac:dyDescent="0.35">
      <c r="L117" s="5"/>
      <c r="M117" s="11"/>
      <c r="N117" s="4" t="str">
        <f>IF($C117="","",COUNTIF($C$3:$C$296,$C117))</f>
        <v/>
      </c>
    </row>
    <row r="118" spans="12:14" x14ac:dyDescent="0.35">
      <c r="L118" s="5"/>
      <c r="M118" s="11"/>
      <c r="N118" s="4" t="str">
        <f>IF($C118="","",COUNTIF($C$3:$C$296,$C118))</f>
        <v/>
      </c>
    </row>
    <row r="119" spans="12:14" x14ac:dyDescent="0.35">
      <c r="L119" s="5"/>
      <c r="M119" s="11"/>
      <c r="N119" s="4" t="str">
        <f>IF($C119="","",COUNTIF($C$3:$C$296,$C119))</f>
        <v/>
      </c>
    </row>
    <row r="120" spans="12:14" x14ac:dyDescent="0.35">
      <c r="L120" s="5"/>
      <c r="M120" s="11"/>
      <c r="N120" s="4" t="str">
        <f>IF($C120="","",COUNTIF($C$3:$C$296,$C120))</f>
        <v/>
      </c>
    </row>
    <row r="121" spans="12:14" x14ac:dyDescent="0.35">
      <c r="L121" s="5"/>
      <c r="M121" s="11"/>
      <c r="N121" s="4" t="str">
        <f>IF($C121="","",COUNTIF($C$3:$C$296,$C121))</f>
        <v/>
      </c>
    </row>
    <row r="122" spans="12:14" x14ac:dyDescent="0.35">
      <c r="L122" s="5"/>
      <c r="M122" s="11"/>
      <c r="N122" s="4" t="str">
        <f>IF($C122="","",COUNTIF($C$3:$C$296,$C122))</f>
        <v/>
      </c>
    </row>
    <row r="123" spans="12:14" x14ac:dyDescent="0.35">
      <c r="L123" s="5"/>
      <c r="M123" s="11"/>
      <c r="N123" s="4" t="str">
        <f>IF($C123="","",COUNTIF($C$3:$C$296,$C123))</f>
        <v/>
      </c>
    </row>
    <row r="124" spans="12:14" x14ac:dyDescent="0.35">
      <c r="L124" s="5"/>
      <c r="M124" s="11"/>
      <c r="N124" s="4" t="str">
        <f>IF($C124="","",COUNTIF($C$3:$C$296,$C124))</f>
        <v/>
      </c>
    </row>
    <row r="125" spans="12:14" x14ac:dyDescent="0.35">
      <c r="L125" s="5"/>
      <c r="M125" s="11"/>
      <c r="N125" s="4" t="str">
        <f>IF($C125="","",COUNTIF($C$3:$C$296,$C125))</f>
        <v/>
      </c>
    </row>
    <row r="126" spans="12:14" x14ac:dyDescent="0.35">
      <c r="L126" s="5"/>
      <c r="M126" s="11"/>
      <c r="N126" s="4" t="str">
        <f>IF($C126="","",COUNTIF($C$3:$C$296,$C126))</f>
        <v/>
      </c>
    </row>
    <row r="127" spans="12:14" x14ac:dyDescent="0.35">
      <c r="L127" s="5"/>
      <c r="M127" s="11"/>
      <c r="N127" s="4" t="str">
        <f>IF($C127="","",COUNTIF($C$3:$C$296,$C127))</f>
        <v/>
      </c>
    </row>
    <row r="128" spans="12:14" x14ac:dyDescent="0.35">
      <c r="L128" s="5"/>
      <c r="M128" s="11"/>
      <c r="N128" s="4" t="str">
        <f>IF($C128="","",COUNTIF($C$3:$C$296,$C128))</f>
        <v/>
      </c>
    </row>
    <row r="129" spans="12:14" x14ac:dyDescent="0.35">
      <c r="L129" s="5"/>
      <c r="M129" s="11"/>
      <c r="N129" s="4" t="str">
        <f>IF($C129="","",COUNTIF($C$3:$C$296,$C129))</f>
        <v/>
      </c>
    </row>
    <row r="130" spans="12:14" x14ac:dyDescent="0.35">
      <c r="L130" s="5"/>
      <c r="M130" s="11"/>
      <c r="N130" s="4" t="str">
        <f>IF($C130="","",COUNTIF($C$3:$C$296,$C130))</f>
        <v/>
      </c>
    </row>
    <row r="131" spans="12:14" x14ac:dyDescent="0.35">
      <c r="L131" s="5"/>
      <c r="M131" s="11"/>
      <c r="N131" s="4" t="str">
        <f>IF($C131="","",COUNTIF($C$3:$C$296,$C131))</f>
        <v/>
      </c>
    </row>
    <row r="132" spans="12:14" x14ac:dyDescent="0.35">
      <c r="L132" s="5"/>
      <c r="M132" s="11"/>
      <c r="N132" s="4" t="str">
        <f>IF($C132="","",COUNTIF($C$3:$C$296,$C132))</f>
        <v/>
      </c>
    </row>
    <row r="133" spans="12:14" x14ac:dyDescent="0.35">
      <c r="L133" s="5"/>
      <c r="M133" s="11"/>
      <c r="N133" s="4" t="str">
        <f>IF($C133="","",COUNTIF($C$3:$C$296,$C133))</f>
        <v/>
      </c>
    </row>
    <row r="134" spans="12:14" x14ac:dyDescent="0.35">
      <c r="L134" s="5"/>
      <c r="M134" s="11"/>
      <c r="N134" s="4" t="str">
        <f>IF($C134="","",COUNTIF($C$3:$C$296,$C134))</f>
        <v/>
      </c>
    </row>
    <row r="135" spans="12:14" x14ac:dyDescent="0.35">
      <c r="L135" s="5"/>
      <c r="M135" s="11"/>
      <c r="N135" s="4" t="str">
        <f>IF($C135="","",COUNTIF($C$3:$C$296,$C135))</f>
        <v/>
      </c>
    </row>
    <row r="136" spans="12:14" x14ac:dyDescent="0.35">
      <c r="L136" s="5"/>
      <c r="M136" s="11"/>
      <c r="N136" s="4" t="str">
        <f>IF($C136="","",COUNTIF($C$3:$C$296,$C136))</f>
        <v/>
      </c>
    </row>
    <row r="137" spans="12:14" x14ac:dyDescent="0.35">
      <c r="L137" s="5"/>
      <c r="M137" s="11"/>
      <c r="N137" s="4" t="str">
        <f>IF($C137="","",COUNTIF($C$3:$C$296,$C137))</f>
        <v/>
      </c>
    </row>
    <row r="138" spans="12:14" x14ac:dyDescent="0.35">
      <c r="L138" s="5"/>
      <c r="M138" s="11"/>
      <c r="N138" s="4" t="str">
        <f>IF($C138="","",COUNTIF($C$3:$C$296,$C138))</f>
        <v/>
      </c>
    </row>
    <row r="139" spans="12:14" x14ac:dyDescent="0.35">
      <c r="L139" s="5"/>
      <c r="M139" s="11"/>
      <c r="N139" s="4" t="str">
        <f>IF($C139="","",COUNTIF($C$3:$C$296,$C139))</f>
        <v/>
      </c>
    </row>
    <row r="140" spans="12:14" x14ac:dyDescent="0.35">
      <c r="L140" s="5"/>
      <c r="M140" s="11"/>
      <c r="N140" s="4" t="str">
        <f>IF($C140="","",COUNTIF($C$3:$C$296,$C140))</f>
        <v/>
      </c>
    </row>
    <row r="141" spans="12:14" x14ac:dyDescent="0.35">
      <c r="L141" s="5"/>
      <c r="M141" s="11"/>
      <c r="N141" s="4" t="str">
        <f>IF($C141="","",COUNTIF($C$3:$C$296,$C141))</f>
        <v/>
      </c>
    </row>
    <row r="142" spans="12:14" x14ac:dyDescent="0.35">
      <c r="L142" s="5"/>
      <c r="M142" s="11"/>
      <c r="N142" s="4" t="str">
        <f>IF($C142="","",COUNTIF($C$3:$C$296,$C142))</f>
        <v/>
      </c>
    </row>
    <row r="143" spans="12:14" x14ac:dyDescent="0.35">
      <c r="L143" s="5"/>
      <c r="M143" s="11"/>
      <c r="N143" s="4" t="str">
        <f>IF($C143="","",COUNTIF($C$3:$C$296,$C143))</f>
        <v/>
      </c>
    </row>
    <row r="144" spans="12:14" x14ac:dyDescent="0.35">
      <c r="L144" s="5"/>
      <c r="M144" s="11"/>
      <c r="N144" s="4" t="str">
        <f>IF($C144="","",COUNTIF($C$3:$C$296,$C144))</f>
        <v/>
      </c>
    </row>
    <row r="145" spans="12:14" x14ac:dyDescent="0.35">
      <c r="L145" s="5"/>
      <c r="M145" s="11"/>
      <c r="N145" s="4" t="str">
        <f>IF($C145="","",COUNTIF($C$3:$C$296,$C145))</f>
        <v/>
      </c>
    </row>
    <row r="146" spans="12:14" x14ac:dyDescent="0.35">
      <c r="L146" s="5"/>
      <c r="M146" s="11"/>
      <c r="N146" s="4" t="str">
        <f>IF($C146="","",COUNTIF($C$3:$C$296,$C146))</f>
        <v/>
      </c>
    </row>
    <row r="147" spans="12:14" x14ac:dyDescent="0.35">
      <c r="L147" s="5"/>
      <c r="M147" s="11"/>
      <c r="N147" s="4" t="str">
        <f>IF($C147="","",COUNTIF($C$3:$C$296,$C147))</f>
        <v/>
      </c>
    </row>
    <row r="148" spans="12:14" x14ac:dyDescent="0.35">
      <c r="L148" s="5"/>
      <c r="M148" s="11"/>
      <c r="N148" s="4" t="str">
        <f>IF($C148="","",COUNTIF($C$3:$C$296,$C148))</f>
        <v/>
      </c>
    </row>
    <row r="149" spans="12:14" x14ac:dyDescent="0.35">
      <c r="L149" s="5"/>
      <c r="M149" s="11"/>
      <c r="N149" s="4" t="str">
        <f>IF($C149="","",COUNTIF($C$3:$C$296,$C149))</f>
        <v/>
      </c>
    </row>
    <row r="150" spans="12:14" x14ac:dyDescent="0.35">
      <c r="L150" s="5"/>
      <c r="M150" s="11"/>
      <c r="N150" s="4" t="str">
        <f>IF($C150="","",COUNTIF($C$3:$C$296,$C150))</f>
        <v/>
      </c>
    </row>
    <row r="151" spans="12:14" x14ac:dyDescent="0.35">
      <c r="L151" s="5"/>
      <c r="M151" s="11"/>
      <c r="N151" s="4" t="str">
        <f>IF($C151="","",COUNTIF($C$3:$C$296,$C151))</f>
        <v/>
      </c>
    </row>
    <row r="152" spans="12:14" x14ac:dyDescent="0.35">
      <c r="L152" s="5"/>
      <c r="M152" s="11"/>
      <c r="N152" s="4" t="str">
        <f>IF($C152="","",COUNTIF($C$3:$C$296,$C152))</f>
        <v/>
      </c>
    </row>
    <row r="153" spans="12:14" x14ac:dyDescent="0.35">
      <c r="L153" s="5"/>
      <c r="M153" s="11"/>
      <c r="N153" s="4" t="str">
        <f>IF($C153="","",COUNTIF($C$3:$C$296,$C153))</f>
        <v/>
      </c>
    </row>
    <row r="154" spans="12:14" x14ac:dyDescent="0.35">
      <c r="L154" s="5"/>
      <c r="M154" s="11"/>
      <c r="N154" s="4" t="str">
        <f>IF($C154="","",COUNTIF($C$3:$C$296,$C154))</f>
        <v/>
      </c>
    </row>
    <row r="155" spans="12:14" x14ac:dyDescent="0.35">
      <c r="L155" s="5"/>
      <c r="M155" s="11"/>
      <c r="N155" s="4" t="str">
        <f>IF($C155="","",COUNTIF($C$3:$C$296,$C155))</f>
        <v/>
      </c>
    </row>
    <row r="156" spans="12:14" x14ac:dyDescent="0.35">
      <c r="L156" s="5"/>
      <c r="M156" s="11"/>
      <c r="N156" s="4" t="str">
        <f>IF($C156="","",COUNTIF($C$3:$C$296,$C156))</f>
        <v/>
      </c>
    </row>
    <row r="157" spans="12:14" x14ac:dyDescent="0.35">
      <c r="L157" s="5"/>
      <c r="M157" s="11"/>
      <c r="N157" s="4" t="str">
        <f>IF($C157="","",COUNTIF($C$3:$C$296,$C157))</f>
        <v/>
      </c>
    </row>
    <row r="158" spans="12:14" x14ac:dyDescent="0.35">
      <c r="L158" s="5"/>
      <c r="M158" s="11"/>
      <c r="N158" s="4" t="str">
        <f>IF($C158="","",COUNTIF($C$3:$C$296,$C158))</f>
        <v/>
      </c>
    </row>
    <row r="159" spans="12:14" x14ac:dyDescent="0.35">
      <c r="L159" s="5"/>
      <c r="M159" s="11"/>
      <c r="N159" s="4" t="str">
        <f>IF($C159="","",COUNTIF($C$3:$C$296,$C159))</f>
        <v/>
      </c>
    </row>
    <row r="160" spans="12:14" x14ac:dyDescent="0.35">
      <c r="L160" s="5"/>
      <c r="M160" s="11"/>
      <c r="N160" s="4" t="str">
        <f>IF($C160="","",COUNTIF($C$3:$C$296,$C160))</f>
        <v/>
      </c>
    </row>
    <row r="161" spans="12:14" x14ac:dyDescent="0.35">
      <c r="L161" s="5"/>
      <c r="M161" s="11"/>
      <c r="N161" s="4" t="str">
        <f>IF($C161="","",COUNTIF($C$3:$C$296,$C161))</f>
        <v/>
      </c>
    </row>
    <row r="162" spans="12:14" x14ac:dyDescent="0.35">
      <c r="L162" s="5"/>
      <c r="M162" s="11"/>
      <c r="N162" s="4" t="str">
        <f>IF($C162="","",COUNTIF($C$3:$C$296,$C162))</f>
        <v/>
      </c>
    </row>
    <row r="163" spans="12:14" x14ac:dyDescent="0.35">
      <c r="L163" s="5"/>
      <c r="M163" s="11"/>
      <c r="N163" s="4" t="str">
        <f>IF($C163="","",COUNTIF($C$3:$C$296,$C163))</f>
        <v/>
      </c>
    </row>
    <row r="164" spans="12:14" x14ac:dyDescent="0.35">
      <c r="L164" s="5"/>
      <c r="M164" s="11"/>
      <c r="N164" s="4" t="str">
        <f>IF($C164="","",COUNTIF($C$3:$C$296,$C164))</f>
        <v/>
      </c>
    </row>
    <row r="165" spans="12:14" x14ac:dyDescent="0.35">
      <c r="L165" s="5"/>
      <c r="M165" s="11"/>
      <c r="N165" s="4" t="str">
        <f>IF($C165="","",COUNTIF($C$3:$C$296,$C165))</f>
        <v/>
      </c>
    </row>
    <row r="166" spans="12:14" x14ac:dyDescent="0.35">
      <c r="L166" s="5"/>
      <c r="M166" s="11"/>
      <c r="N166" s="4" t="str">
        <f>IF($C166="","",COUNTIF($C$3:$C$296,$C166))</f>
        <v/>
      </c>
    </row>
    <row r="167" spans="12:14" x14ac:dyDescent="0.35">
      <c r="L167" s="5"/>
      <c r="M167" s="11"/>
      <c r="N167" s="4" t="str">
        <f>IF($C167="","",COUNTIF($C$3:$C$296,$C167))</f>
        <v/>
      </c>
    </row>
    <row r="168" spans="12:14" x14ac:dyDescent="0.35">
      <c r="L168" s="5"/>
      <c r="M168" s="11"/>
      <c r="N168" s="4" t="str">
        <f>IF($C168="","",COUNTIF($C$3:$C$296,$C168))</f>
        <v/>
      </c>
    </row>
    <row r="169" spans="12:14" x14ac:dyDescent="0.35">
      <c r="L169" s="5"/>
      <c r="M169" s="11"/>
      <c r="N169" s="4" t="str">
        <f>IF($C169="","",COUNTIF($C$3:$C$296,$C169))</f>
        <v/>
      </c>
    </row>
    <row r="170" spans="12:14" x14ac:dyDescent="0.35">
      <c r="L170" s="5"/>
      <c r="M170" s="11"/>
      <c r="N170" s="4" t="str">
        <f>IF($C170="","",COUNTIF($C$3:$C$296,$C170))</f>
        <v/>
      </c>
    </row>
    <row r="171" spans="12:14" x14ac:dyDescent="0.35">
      <c r="L171" s="5"/>
      <c r="M171" s="11"/>
      <c r="N171" s="4" t="str">
        <f>IF($C171="","",COUNTIF($C$3:$C$296,$C171))</f>
        <v/>
      </c>
    </row>
    <row r="172" spans="12:14" x14ac:dyDescent="0.35">
      <c r="L172" s="5"/>
      <c r="M172" s="11"/>
      <c r="N172" s="4" t="str">
        <f>IF($C172="","",COUNTIF($C$3:$C$296,$C172))</f>
        <v/>
      </c>
    </row>
    <row r="173" spans="12:14" x14ac:dyDescent="0.35">
      <c r="L173" s="5"/>
      <c r="M173" s="11"/>
      <c r="N173" s="4" t="str">
        <f>IF($C173="","",COUNTIF($C$3:$C$296,$C173))</f>
        <v/>
      </c>
    </row>
    <row r="174" spans="12:14" x14ac:dyDescent="0.35">
      <c r="L174" s="5"/>
      <c r="M174" s="11"/>
      <c r="N174" s="4" t="str">
        <f>IF($C174="","",COUNTIF($C$3:$C$296,$C174))</f>
        <v/>
      </c>
    </row>
    <row r="175" spans="12:14" x14ac:dyDescent="0.35">
      <c r="L175" s="5"/>
      <c r="M175" s="11"/>
      <c r="N175" s="4" t="str">
        <f>IF($C175="","",COUNTIF($C$3:$C$296,$C175))</f>
        <v/>
      </c>
    </row>
    <row r="176" spans="12:14" x14ac:dyDescent="0.35">
      <c r="L176" s="5"/>
      <c r="M176" s="11"/>
      <c r="N176" s="4" t="str">
        <f>IF($C176="","",COUNTIF($C$3:$C$296,$C176))</f>
        <v/>
      </c>
    </row>
    <row r="177" spans="12:14" x14ac:dyDescent="0.35">
      <c r="L177" s="5"/>
      <c r="M177" s="11"/>
      <c r="N177" s="4" t="str">
        <f>IF($C177="","",COUNTIF($C$3:$C$296,$C177))</f>
        <v/>
      </c>
    </row>
    <row r="178" spans="12:14" x14ac:dyDescent="0.35">
      <c r="L178" s="5"/>
      <c r="M178" s="11"/>
      <c r="N178" s="4" t="str">
        <f>IF($C178="","",COUNTIF($C$3:$C$296,$C178))</f>
        <v/>
      </c>
    </row>
    <row r="179" spans="12:14" x14ac:dyDescent="0.35">
      <c r="L179" s="5"/>
      <c r="M179" s="11"/>
      <c r="N179" s="4" t="str">
        <f>IF($C179="","",COUNTIF($C$3:$C$296,$C179))</f>
        <v/>
      </c>
    </row>
    <row r="180" spans="12:14" x14ac:dyDescent="0.35">
      <c r="L180" s="5"/>
      <c r="M180" s="11"/>
      <c r="N180" s="4" t="str">
        <f>IF($C180="","",COUNTIF($C$3:$C$296,$C180))</f>
        <v/>
      </c>
    </row>
    <row r="181" spans="12:14" x14ac:dyDescent="0.35">
      <c r="L181" s="5"/>
      <c r="M181" s="11"/>
      <c r="N181" s="4" t="str">
        <f>IF($C181="","",COUNTIF($C$3:$C$296,$C181))</f>
        <v/>
      </c>
    </row>
    <row r="182" spans="12:14" x14ac:dyDescent="0.35">
      <c r="L182" s="5"/>
      <c r="M182" s="11"/>
      <c r="N182" s="4" t="str">
        <f>IF($C182="","",COUNTIF($C$3:$C$296,$C182))</f>
        <v/>
      </c>
    </row>
    <row r="183" spans="12:14" x14ac:dyDescent="0.35">
      <c r="L183" s="5"/>
      <c r="M183" s="11"/>
      <c r="N183" s="4" t="str">
        <f>IF($C183="","",COUNTIF($C$3:$C$296,$C183))</f>
        <v/>
      </c>
    </row>
    <row r="184" spans="12:14" x14ac:dyDescent="0.35">
      <c r="L184" s="5"/>
      <c r="M184" s="11"/>
      <c r="N184" s="4" t="str">
        <f>IF($C184="","",COUNTIF($C$3:$C$296,$C184))</f>
        <v/>
      </c>
    </row>
    <row r="185" spans="12:14" x14ac:dyDescent="0.35">
      <c r="L185" s="5"/>
      <c r="M185" s="11"/>
      <c r="N185" s="4" t="str">
        <f>IF($C185="","",COUNTIF($C$3:$C$296,$C185))</f>
        <v/>
      </c>
    </row>
    <row r="186" spans="12:14" x14ac:dyDescent="0.35">
      <c r="L186" s="5"/>
      <c r="M186" s="11"/>
      <c r="N186" s="4" t="str">
        <f>IF($C186="","",COUNTIF($C$3:$C$296,$C186))</f>
        <v/>
      </c>
    </row>
    <row r="187" spans="12:14" x14ac:dyDescent="0.35">
      <c r="L187" s="5"/>
      <c r="M187" s="11"/>
      <c r="N187" s="4" t="str">
        <f>IF($C187="","",COUNTIF($C$3:$C$296,$C187))</f>
        <v/>
      </c>
    </row>
    <row r="188" spans="12:14" x14ac:dyDescent="0.35">
      <c r="L188" s="5"/>
      <c r="M188" s="11"/>
      <c r="N188" s="4" t="str">
        <f>IF($C188="","",COUNTIF($C$3:$C$296,$C188))</f>
        <v/>
      </c>
    </row>
    <row r="189" spans="12:14" x14ac:dyDescent="0.35">
      <c r="L189" s="5"/>
      <c r="M189" s="11"/>
      <c r="N189" s="4" t="str">
        <f>IF($C189="","",COUNTIF($C$3:$C$296,$C189))</f>
        <v/>
      </c>
    </row>
    <row r="190" spans="12:14" x14ac:dyDescent="0.35">
      <c r="L190" s="5"/>
      <c r="M190" s="11"/>
      <c r="N190" s="4" t="str">
        <f>IF($C190="","",COUNTIF($C$3:$C$296,$C190))</f>
        <v/>
      </c>
    </row>
    <row r="191" spans="12:14" x14ac:dyDescent="0.35">
      <c r="L191" s="5"/>
      <c r="M191" s="11"/>
      <c r="N191" s="4" t="str">
        <f>IF($C191="","",COUNTIF($C$3:$C$296,$C191))</f>
        <v/>
      </c>
    </row>
    <row r="192" spans="12:14" x14ac:dyDescent="0.35">
      <c r="L192" s="5"/>
      <c r="M192" s="11"/>
      <c r="N192" s="4" t="str">
        <f>IF($C192="","",COUNTIF($C$3:$C$296,$C192))</f>
        <v/>
      </c>
    </row>
    <row r="193" spans="12:14" x14ac:dyDescent="0.35">
      <c r="L193" s="5"/>
      <c r="M193" s="11"/>
      <c r="N193" s="4" t="str">
        <f>IF($C193="","",COUNTIF($C$3:$C$296,$C193))</f>
        <v/>
      </c>
    </row>
    <row r="194" spans="12:14" x14ac:dyDescent="0.35">
      <c r="L194" s="5"/>
      <c r="M194" s="11"/>
      <c r="N194" s="4" t="str">
        <f>IF($C194="","",COUNTIF($C$3:$C$296,$C194))</f>
        <v/>
      </c>
    </row>
    <row r="195" spans="12:14" x14ac:dyDescent="0.35">
      <c r="L195" s="5"/>
      <c r="M195" s="11"/>
      <c r="N195" s="4" t="str">
        <f>IF($C195="","",COUNTIF($C$3:$C$296,$C195))</f>
        <v/>
      </c>
    </row>
    <row r="196" spans="12:14" x14ac:dyDescent="0.35">
      <c r="L196" s="5"/>
      <c r="M196" s="11"/>
      <c r="N196" s="4" t="str">
        <f>IF($C196="","",COUNTIF($C$3:$C$296,$C196))</f>
        <v/>
      </c>
    </row>
    <row r="197" spans="12:14" x14ac:dyDescent="0.35">
      <c r="L197" s="5"/>
      <c r="M197" s="11"/>
      <c r="N197" s="4" t="str">
        <f>IF($C197="","",COUNTIF($C$3:$C$296,$C197))</f>
        <v/>
      </c>
    </row>
    <row r="198" spans="12:14" x14ac:dyDescent="0.35">
      <c r="L198" s="5"/>
      <c r="M198" s="11"/>
      <c r="N198" s="4" t="str">
        <f>IF($C198="","",COUNTIF($C$3:$C$296,$C198))</f>
        <v/>
      </c>
    </row>
    <row r="199" spans="12:14" x14ac:dyDescent="0.35">
      <c r="L199" s="5"/>
      <c r="M199" s="11"/>
      <c r="N199" s="4" t="str">
        <f>IF($C199="","",COUNTIF($C$3:$C$296,$C199))</f>
        <v/>
      </c>
    </row>
    <row r="200" spans="12:14" x14ac:dyDescent="0.35">
      <c r="L200" s="5"/>
      <c r="M200" s="11"/>
      <c r="N200" s="4" t="str">
        <f>IF($C200="","",COUNTIF($C$3:$C$296,$C200))</f>
        <v/>
      </c>
    </row>
    <row r="201" spans="12:14" x14ac:dyDescent="0.35">
      <c r="L201" s="5"/>
      <c r="M201" s="11"/>
      <c r="N201" s="4" t="str">
        <f>IF($C201="","",COUNTIF($C$3:$C$296,$C201))</f>
        <v/>
      </c>
    </row>
    <row r="202" spans="12:14" x14ac:dyDescent="0.35">
      <c r="L202" s="5"/>
      <c r="M202" s="11"/>
      <c r="N202" s="4" t="str">
        <f>IF($C202="","",COUNTIF($C$3:$C$296,$C202))</f>
        <v/>
      </c>
    </row>
    <row r="203" spans="12:14" x14ac:dyDescent="0.35">
      <c r="L203" s="5"/>
      <c r="M203" s="11"/>
      <c r="N203" s="4" t="str">
        <f>IF($C203="","",COUNTIF($C$3:$C$296,$C203))</f>
        <v/>
      </c>
    </row>
    <row r="204" spans="12:14" x14ac:dyDescent="0.35">
      <c r="L204" s="5"/>
      <c r="M204" s="11"/>
      <c r="N204" s="4" t="str">
        <f>IF($C204="","",COUNTIF($C$3:$C$296,$C204))</f>
        <v/>
      </c>
    </row>
    <row r="205" spans="12:14" x14ac:dyDescent="0.35">
      <c r="L205" s="5"/>
      <c r="M205" s="11"/>
      <c r="N205" s="4" t="str">
        <f>IF($C205="","",COUNTIF($C$3:$C$296,$C205))</f>
        <v/>
      </c>
    </row>
    <row r="206" spans="12:14" x14ac:dyDescent="0.35">
      <c r="L206" s="5"/>
      <c r="M206" s="11"/>
      <c r="N206" s="4" t="str">
        <f>IF($C206="","",COUNTIF($C$3:$C$296,$C206))</f>
        <v/>
      </c>
    </row>
    <row r="207" spans="12:14" x14ac:dyDescent="0.35">
      <c r="L207" s="5"/>
      <c r="M207" s="11"/>
      <c r="N207" s="4" t="str">
        <f>IF($C207="","",COUNTIF($C$3:$C$296,$C207))</f>
        <v/>
      </c>
    </row>
    <row r="208" spans="12:14" x14ac:dyDescent="0.35">
      <c r="L208" s="5"/>
      <c r="M208" s="11"/>
      <c r="N208" s="4" t="str">
        <f>IF($C208="","",COUNTIF($C$3:$C$296,$C208))</f>
        <v/>
      </c>
    </row>
    <row r="209" spans="12:14" x14ac:dyDescent="0.35">
      <c r="L209" s="5"/>
      <c r="M209" s="11"/>
      <c r="N209" s="4" t="str">
        <f>IF($C209="","",COUNTIF($C$3:$C$296,$C209))</f>
        <v/>
      </c>
    </row>
    <row r="210" spans="12:14" x14ac:dyDescent="0.35">
      <c r="L210" s="5"/>
      <c r="M210" s="11"/>
      <c r="N210" s="4" t="str">
        <f>IF($C210="","",COUNTIF($C$3:$C$296,$C210))</f>
        <v/>
      </c>
    </row>
    <row r="211" spans="12:14" x14ac:dyDescent="0.35">
      <c r="L211" s="5"/>
      <c r="M211" s="11"/>
      <c r="N211" s="4" t="str">
        <f>IF($C211="","",COUNTIF($C$3:$C$296,$C211))</f>
        <v/>
      </c>
    </row>
    <row r="212" spans="12:14" x14ac:dyDescent="0.35">
      <c r="L212" s="5"/>
      <c r="M212" s="11"/>
      <c r="N212" s="4" t="str">
        <f>IF($C212="","",COUNTIF($C$3:$C$296,$C212))</f>
        <v/>
      </c>
    </row>
    <row r="213" spans="12:14" x14ac:dyDescent="0.35">
      <c r="L213" s="5"/>
      <c r="M213" s="11"/>
      <c r="N213" s="4" t="str">
        <f>IF($C213="","",COUNTIF($C$3:$C$296,$C213))</f>
        <v/>
      </c>
    </row>
    <row r="214" spans="12:14" x14ac:dyDescent="0.35">
      <c r="L214" s="5"/>
      <c r="M214" s="11"/>
      <c r="N214" s="4" t="str">
        <f>IF($C214="","",COUNTIF($C$3:$C$296,$C214))</f>
        <v/>
      </c>
    </row>
    <row r="215" spans="12:14" x14ac:dyDescent="0.35">
      <c r="L215" s="5"/>
      <c r="M215" s="11"/>
      <c r="N215" s="4" t="str">
        <f>IF($C215="","",COUNTIF($C$3:$C$296,$C215))</f>
        <v/>
      </c>
    </row>
    <row r="216" spans="12:14" x14ac:dyDescent="0.35">
      <c r="L216" s="5"/>
      <c r="M216" s="11"/>
      <c r="N216" s="4" t="str">
        <f>IF($C216="","",COUNTIF($C$3:$C$296,$C216))</f>
        <v/>
      </c>
    </row>
    <row r="217" spans="12:14" x14ac:dyDescent="0.35">
      <c r="L217" s="5"/>
      <c r="M217" s="11"/>
      <c r="N217" s="4" t="str">
        <f>IF($C217="","",COUNTIF($C$3:$C$296,$C217))</f>
        <v/>
      </c>
    </row>
    <row r="218" spans="12:14" x14ac:dyDescent="0.35">
      <c r="L218" s="5"/>
      <c r="M218" s="11"/>
      <c r="N218" s="4" t="str">
        <f>IF($C218="","",COUNTIF($C$3:$C$296,$C218))</f>
        <v/>
      </c>
    </row>
    <row r="219" spans="12:14" x14ac:dyDescent="0.35">
      <c r="L219" s="5"/>
      <c r="M219" s="11"/>
      <c r="N219" s="4" t="str">
        <f>IF($C219="","",COUNTIF($C$3:$C$296,$C219))</f>
        <v/>
      </c>
    </row>
    <row r="220" spans="12:14" x14ac:dyDescent="0.35">
      <c r="L220" s="5"/>
      <c r="M220" s="11"/>
      <c r="N220" s="4" t="str">
        <f>IF($C220="","",COUNTIF($C$3:$C$296,$C220))</f>
        <v/>
      </c>
    </row>
    <row r="221" spans="12:14" x14ac:dyDescent="0.35">
      <c r="L221" s="5"/>
      <c r="M221" s="11"/>
      <c r="N221" s="4" t="str">
        <f>IF($C221="","",COUNTIF($C$3:$C$296,$C221))</f>
        <v/>
      </c>
    </row>
    <row r="222" spans="12:14" x14ac:dyDescent="0.35">
      <c r="L222" s="5"/>
      <c r="M222" s="11"/>
      <c r="N222" s="4" t="str">
        <f>IF($C222="","",COUNTIF($C$3:$C$296,$C222))</f>
        <v/>
      </c>
    </row>
    <row r="223" spans="12:14" x14ac:dyDescent="0.35">
      <c r="L223" s="5"/>
      <c r="M223" s="11"/>
      <c r="N223" s="4" t="str">
        <f>IF($C223="","",COUNTIF($C$3:$C$296,$C223))</f>
        <v/>
      </c>
    </row>
    <row r="224" spans="12:14" x14ac:dyDescent="0.35">
      <c r="L224" s="5"/>
      <c r="M224" s="11"/>
      <c r="N224" s="4" t="str">
        <f>IF($C224="","",COUNTIF($C$3:$C$296,$C224))</f>
        <v/>
      </c>
    </row>
    <row r="225" spans="12:14" x14ac:dyDescent="0.35">
      <c r="L225" s="5"/>
      <c r="M225" s="11"/>
      <c r="N225" s="4" t="str">
        <f>IF($C225="","",COUNTIF($C$3:$C$296,$C225))</f>
        <v/>
      </c>
    </row>
    <row r="226" spans="12:14" x14ac:dyDescent="0.35">
      <c r="L226" s="5"/>
      <c r="M226" s="11"/>
      <c r="N226" s="4" t="str">
        <f>IF($C226="","",COUNTIF($C$3:$C$296,$C226))</f>
        <v/>
      </c>
    </row>
    <row r="227" spans="12:14" x14ac:dyDescent="0.35">
      <c r="L227" s="5"/>
      <c r="M227" s="11"/>
      <c r="N227" s="4" t="str">
        <f>IF($C227="","",COUNTIF($C$3:$C$296,$C227))</f>
        <v/>
      </c>
    </row>
    <row r="228" spans="12:14" x14ac:dyDescent="0.35">
      <c r="L228" s="5"/>
      <c r="M228" s="11"/>
      <c r="N228" s="4" t="str">
        <f>IF($C228="","",COUNTIF($C$3:$C$296,$C228))</f>
        <v/>
      </c>
    </row>
    <row r="229" spans="12:14" x14ac:dyDescent="0.35">
      <c r="L229" s="5"/>
      <c r="M229" s="11"/>
      <c r="N229" s="4" t="str">
        <f>IF($C229="","",COUNTIF($C$3:$C$296,$C229))</f>
        <v/>
      </c>
    </row>
    <row r="230" spans="12:14" x14ac:dyDescent="0.35">
      <c r="L230" s="5"/>
      <c r="M230" s="11"/>
      <c r="N230" s="4" t="str">
        <f>IF($C230="","",COUNTIF($C$3:$C$296,$C230))</f>
        <v/>
      </c>
    </row>
    <row r="231" spans="12:14" x14ac:dyDescent="0.35">
      <c r="L231" s="5"/>
      <c r="M231" s="11"/>
      <c r="N231" s="4" t="str">
        <f>IF($C231="","",COUNTIF($C$3:$C$296,$C231))</f>
        <v/>
      </c>
    </row>
    <row r="232" spans="12:14" x14ac:dyDescent="0.35">
      <c r="L232" s="5"/>
      <c r="M232" s="11"/>
      <c r="N232" s="4" t="str">
        <f>IF($C232="","",COUNTIF($C$3:$C$296,$C232))</f>
        <v/>
      </c>
    </row>
    <row r="233" spans="12:14" x14ac:dyDescent="0.35">
      <c r="L233" s="5"/>
      <c r="M233" s="11"/>
      <c r="N233" s="4" t="str">
        <f>IF($C233="","",COUNTIF($C$3:$C$296,$C233))</f>
        <v/>
      </c>
    </row>
    <row r="234" spans="12:14" x14ac:dyDescent="0.35">
      <c r="L234" s="5"/>
      <c r="M234" s="11"/>
      <c r="N234" s="4" t="str">
        <f>IF($C234="","",COUNTIF($C$3:$C$296,$C234))</f>
        <v/>
      </c>
    </row>
    <row r="235" spans="12:14" x14ac:dyDescent="0.35">
      <c r="L235" s="5"/>
      <c r="M235" s="11"/>
      <c r="N235" s="4" t="str">
        <f>IF($C235="","",COUNTIF($C$3:$C$296,$C235))</f>
        <v/>
      </c>
    </row>
    <row r="236" spans="12:14" x14ac:dyDescent="0.35">
      <c r="L236" s="5"/>
      <c r="M236" s="11"/>
      <c r="N236" s="4" t="str">
        <f>IF($C236="","",COUNTIF($C$3:$C$296,$C236))</f>
        <v/>
      </c>
    </row>
    <row r="237" spans="12:14" x14ac:dyDescent="0.35">
      <c r="L237" s="5"/>
      <c r="M237" s="11"/>
      <c r="N237" s="4" t="str">
        <f>IF($C237="","",COUNTIF($C$3:$C$296,$C237))</f>
        <v/>
      </c>
    </row>
    <row r="238" spans="12:14" x14ac:dyDescent="0.35">
      <c r="L238" s="5"/>
      <c r="M238" s="11"/>
      <c r="N238" s="4" t="str">
        <f>IF($C238="","",COUNTIF($C$3:$C$296,$C238))</f>
        <v/>
      </c>
    </row>
    <row r="239" spans="12:14" x14ac:dyDescent="0.35">
      <c r="L239" s="5"/>
      <c r="M239" s="11"/>
      <c r="N239" s="4" t="str">
        <f>IF($C239="","",COUNTIF($C$3:$C$296,$C239))</f>
        <v/>
      </c>
    </row>
    <row r="240" spans="12:14" x14ac:dyDescent="0.35">
      <c r="L240" s="5"/>
      <c r="M240" s="11"/>
      <c r="N240" s="4" t="str">
        <f>IF($C240="","",COUNTIF($C$3:$C$296,$C240))</f>
        <v/>
      </c>
    </row>
    <row r="241" spans="12:14" x14ac:dyDescent="0.35">
      <c r="L241" s="5"/>
      <c r="M241" s="11"/>
      <c r="N241" s="4" t="str">
        <f>IF($C241="","",COUNTIF($C$3:$C$296,$C241))</f>
        <v/>
      </c>
    </row>
    <row r="242" spans="12:14" x14ac:dyDescent="0.35">
      <c r="L242" s="5"/>
      <c r="M242" s="11"/>
      <c r="N242" s="4" t="str">
        <f>IF($C242="","",COUNTIF($C$3:$C$296,$C242))</f>
        <v/>
      </c>
    </row>
    <row r="243" spans="12:14" x14ac:dyDescent="0.35">
      <c r="L243" s="5"/>
      <c r="M243" s="11"/>
      <c r="N243" s="4" t="str">
        <f>IF($C243="","",COUNTIF($C$3:$C$296,$C243))</f>
        <v/>
      </c>
    </row>
    <row r="244" spans="12:14" x14ac:dyDescent="0.35">
      <c r="L244" s="5"/>
      <c r="M244" s="11"/>
      <c r="N244" s="4" t="str">
        <f>IF($C244="","",COUNTIF($C$3:$C$296,$C244))</f>
        <v/>
      </c>
    </row>
    <row r="245" spans="12:14" x14ac:dyDescent="0.35">
      <c r="L245" s="5"/>
      <c r="M245" s="11"/>
      <c r="N245" s="4" t="str">
        <f>IF($C245="","",COUNTIF($C$3:$C$296,$C245))</f>
        <v/>
      </c>
    </row>
    <row r="246" spans="12:14" x14ac:dyDescent="0.35">
      <c r="L246" s="5"/>
      <c r="M246" s="11"/>
      <c r="N246" s="4" t="str">
        <f>IF($C246="","",COUNTIF($C$3:$C$296,$C246))</f>
        <v/>
      </c>
    </row>
    <row r="247" spans="12:14" x14ac:dyDescent="0.35">
      <c r="L247" s="5"/>
      <c r="M247" s="11"/>
      <c r="N247" s="4" t="str">
        <f>IF($C247="","",COUNTIF($C$3:$C$296,$C247))</f>
        <v/>
      </c>
    </row>
    <row r="248" spans="12:14" x14ac:dyDescent="0.35">
      <c r="L248" s="5"/>
      <c r="M248" s="11"/>
      <c r="N248" s="4" t="str">
        <f>IF($C248="","",COUNTIF($C$3:$C$296,$C248))</f>
        <v/>
      </c>
    </row>
    <row r="249" spans="12:14" x14ac:dyDescent="0.35">
      <c r="L249" s="5"/>
      <c r="M249" s="11"/>
      <c r="N249" s="4" t="str">
        <f>IF($C249="","",COUNTIF($C$3:$C$296,$C249))</f>
        <v/>
      </c>
    </row>
    <row r="250" spans="12:14" x14ac:dyDescent="0.35">
      <c r="L250" s="5"/>
      <c r="M250" s="11"/>
      <c r="N250" s="4" t="str">
        <f>IF($C250="","",COUNTIF($C$3:$C$296,$C250))</f>
        <v/>
      </c>
    </row>
    <row r="251" spans="12:14" x14ac:dyDescent="0.35">
      <c r="L251" s="5"/>
      <c r="M251" s="11"/>
      <c r="N251" s="4" t="str">
        <f>IF($C251="","",COUNTIF($C$3:$C$296,$C251))</f>
        <v/>
      </c>
    </row>
    <row r="252" spans="12:14" x14ac:dyDescent="0.35">
      <c r="L252" s="5"/>
      <c r="M252" s="11"/>
      <c r="N252" s="4" t="str">
        <f>IF($C252="","",COUNTIF($C$3:$C$296,$C252))</f>
        <v/>
      </c>
    </row>
    <row r="253" spans="12:14" x14ac:dyDescent="0.35">
      <c r="L253" s="5"/>
      <c r="M253" s="11"/>
      <c r="N253" s="4" t="str">
        <f>IF($C253="","",COUNTIF($C$3:$C$296,$C253))</f>
        <v/>
      </c>
    </row>
    <row r="254" spans="12:14" x14ac:dyDescent="0.35">
      <c r="L254" s="5"/>
      <c r="M254" s="11"/>
      <c r="N254" s="4" t="str">
        <f>IF($C254="","",COUNTIF($C$3:$C$296,$C254))</f>
        <v/>
      </c>
    </row>
    <row r="255" spans="12:14" x14ac:dyDescent="0.35">
      <c r="L255" s="5"/>
      <c r="M255" s="11"/>
      <c r="N255" s="4" t="str">
        <f>IF($C255="","",COUNTIF($C$3:$C$296,$C255))</f>
        <v/>
      </c>
    </row>
    <row r="256" spans="12:14" x14ac:dyDescent="0.35">
      <c r="L256" s="5"/>
      <c r="M256" s="11"/>
      <c r="N256" s="4" t="str">
        <f>IF($C256="","",COUNTIF($C$3:$C$296,$C256))</f>
        <v/>
      </c>
    </row>
    <row r="257" spans="12:14" x14ac:dyDescent="0.35">
      <c r="L257" s="5"/>
      <c r="M257" s="11"/>
      <c r="N257" s="4" t="str">
        <f>IF($C257="","",COUNTIF($C$3:$C$296,$C257))</f>
        <v/>
      </c>
    </row>
    <row r="258" spans="12:14" x14ac:dyDescent="0.35">
      <c r="L258" s="5"/>
      <c r="M258" s="11"/>
      <c r="N258" s="4" t="str">
        <f>IF($C258="","",COUNTIF($C$3:$C$296,$C258))</f>
        <v/>
      </c>
    </row>
    <row r="259" spans="12:14" x14ac:dyDescent="0.35">
      <c r="L259" s="5"/>
      <c r="M259" s="11"/>
      <c r="N259" s="4" t="str">
        <f>IF($C259="","",COUNTIF($C$3:$C$296,$C259))</f>
        <v/>
      </c>
    </row>
    <row r="260" spans="12:14" x14ac:dyDescent="0.35">
      <c r="L260" s="5"/>
      <c r="M260" s="11"/>
      <c r="N260" s="4" t="str">
        <f>IF($C260="","",COUNTIF($C$3:$C$296,$C260))</f>
        <v/>
      </c>
    </row>
    <row r="261" spans="12:14" x14ac:dyDescent="0.35">
      <c r="L261" s="5"/>
      <c r="M261" s="11"/>
      <c r="N261" s="4" t="str">
        <f>IF($C261="","",COUNTIF($C$3:$C$296,$C261))</f>
        <v/>
      </c>
    </row>
    <row r="262" spans="12:14" x14ac:dyDescent="0.35">
      <c r="L262" s="5"/>
      <c r="M262" s="11"/>
      <c r="N262" s="4" t="str">
        <f>IF($C262="","",COUNTIF($C$3:$C$296,$C262))</f>
        <v/>
      </c>
    </row>
    <row r="263" spans="12:14" x14ac:dyDescent="0.35">
      <c r="L263" s="5"/>
      <c r="M263" s="11"/>
      <c r="N263" s="4" t="str">
        <f>IF($C263="","",COUNTIF($C$3:$C$296,$C263))</f>
        <v/>
      </c>
    </row>
    <row r="264" spans="12:14" x14ac:dyDescent="0.35">
      <c r="L264" s="5"/>
      <c r="M264" s="11"/>
      <c r="N264" s="4" t="str">
        <f>IF($C264="","",COUNTIF($C$3:$C$296,$C264))</f>
        <v/>
      </c>
    </row>
    <row r="265" spans="12:14" x14ac:dyDescent="0.35">
      <c r="L265" s="5"/>
      <c r="M265" s="11"/>
      <c r="N265" s="4" t="str">
        <f>IF($C265="","",COUNTIF($C$3:$C$296,$C265))</f>
        <v/>
      </c>
    </row>
    <row r="266" spans="12:14" x14ac:dyDescent="0.35">
      <c r="L266" s="5"/>
      <c r="M266" s="11"/>
      <c r="N266" s="4" t="str">
        <f>IF($C266="","",COUNTIF($C$3:$C$296,$C266))</f>
        <v/>
      </c>
    </row>
    <row r="267" spans="12:14" x14ac:dyDescent="0.35">
      <c r="L267" s="5"/>
      <c r="M267" s="11"/>
      <c r="N267" s="4" t="str">
        <f>IF($C267="","",COUNTIF($C$3:$C$296,$C267))</f>
        <v/>
      </c>
    </row>
    <row r="268" spans="12:14" x14ac:dyDescent="0.35">
      <c r="L268" s="5"/>
      <c r="M268" s="11"/>
      <c r="N268" s="4" t="str">
        <f>IF($C268="","",COUNTIF($C$3:$C$296,$C268))</f>
        <v/>
      </c>
    </row>
    <row r="269" spans="12:14" x14ac:dyDescent="0.35">
      <c r="L269" s="5"/>
      <c r="M269" s="11"/>
      <c r="N269" s="4" t="str">
        <f>IF($C269="","",COUNTIF($C$3:$C$296,$C269))</f>
        <v/>
      </c>
    </row>
    <row r="270" spans="12:14" x14ac:dyDescent="0.35">
      <c r="L270" s="5"/>
      <c r="M270" s="11"/>
      <c r="N270" s="4" t="str">
        <f>IF($C270="","",COUNTIF($C$3:$C$296,$C270))</f>
        <v/>
      </c>
    </row>
    <row r="271" spans="12:14" x14ac:dyDescent="0.35">
      <c r="L271" s="5"/>
      <c r="M271" s="11"/>
      <c r="N271" s="4" t="str">
        <f>IF($C271="","",COUNTIF($C$3:$C$296,$C271))</f>
        <v/>
      </c>
    </row>
    <row r="272" spans="12:14" x14ac:dyDescent="0.35">
      <c r="L272" s="5"/>
      <c r="M272" s="11"/>
      <c r="N272" s="4" t="str">
        <f>IF($C272="","",COUNTIF($C$3:$C$296,$C272))</f>
        <v/>
      </c>
    </row>
    <row r="273" spans="12:14" x14ac:dyDescent="0.35">
      <c r="L273" s="5"/>
      <c r="M273" s="11"/>
      <c r="N273" s="4" t="str">
        <f>IF($C273="","",COUNTIF($C$3:$C$296,$C273))</f>
        <v/>
      </c>
    </row>
    <row r="274" spans="12:14" x14ac:dyDescent="0.35">
      <c r="L274" s="5"/>
      <c r="M274" s="11"/>
      <c r="N274" s="4" t="str">
        <f>IF($C274="","",COUNTIF($C$3:$C$296,$C274))</f>
        <v/>
      </c>
    </row>
    <row r="275" spans="12:14" x14ac:dyDescent="0.35">
      <c r="L275" s="5"/>
      <c r="M275" s="11"/>
      <c r="N275" s="4" t="str">
        <f>IF($C275="","",COUNTIF($C$3:$C$296,$C275))</f>
        <v/>
      </c>
    </row>
    <row r="276" spans="12:14" x14ac:dyDescent="0.35">
      <c r="L276" s="5"/>
      <c r="M276" s="11"/>
      <c r="N276" s="4" t="str">
        <f>IF($C276="","",COUNTIF($C$3:$C$296,$C276))</f>
        <v/>
      </c>
    </row>
    <row r="277" spans="12:14" x14ac:dyDescent="0.35">
      <c r="L277" s="5"/>
      <c r="M277" s="11"/>
      <c r="N277" s="4" t="str">
        <f>IF($C277="","",COUNTIF($C$3:$C$296,$C277))</f>
        <v/>
      </c>
    </row>
    <row r="278" spans="12:14" x14ac:dyDescent="0.35">
      <c r="L278" s="5"/>
      <c r="M278" s="11"/>
      <c r="N278" s="4" t="str">
        <f>IF($C278="","",COUNTIF($C$3:$C$296,$C278))</f>
        <v/>
      </c>
    </row>
    <row r="279" spans="12:14" x14ac:dyDescent="0.35">
      <c r="L279" s="5"/>
      <c r="M279" s="11"/>
      <c r="N279" s="4" t="str">
        <f>IF($C279="","",COUNTIF($C$3:$C$296,$C279))</f>
        <v/>
      </c>
    </row>
    <row r="280" spans="12:14" x14ac:dyDescent="0.35">
      <c r="L280" s="5"/>
      <c r="M280" s="11"/>
      <c r="N280" s="4" t="str">
        <f>IF($C280="","",COUNTIF($C$3:$C$296,$C280))</f>
        <v/>
      </c>
    </row>
    <row r="281" spans="12:14" x14ac:dyDescent="0.35">
      <c r="L281" s="5"/>
      <c r="M281" s="11"/>
      <c r="N281" s="4" t="str">
        <f>IF($C281="","",COUNTIF($C$3:$C$296,$C281))</f>
        <v/>
      </c>
    </row>
    <row r="282" spans="12:14" x14ac:dyDescent="0.35">
      <c r="L282" s="5"/>
      <c r="M282" s="11"/>
      <c r="N282" s="4" t="str">
        <f>IF($C282="","",COUNTIF($C$3:$C$296,$C282))</f>
        <v/>
      </c>
    </row>
    <row r="283" spans="12:14" x14ac:dyDescent="0.35">
      <c r="L283" s="5"/>
      <c r="M283" s="11"/>
      <c r="N283" s="4" t="str">
        <f>IF($C283="","",COUNTIF($C$3:$C$296,$C283))</f>
        <v/>
      </c>
    </row>
    <row r="284" spans="12:14" x14ac:dyDescent="0.35">
      <c r="L284" s="5"/>
      <c r="M284" s="11"/>
      <c r="N284" s="4" t="str">
        <f>IF($C284="","",COUNTIF($C$3:$C$296,$C284))</f>
        <v/>
      </c>
    </row>
    <row r="285" spans="12:14" x14ac:dyDescent="0.35">
      <c r="L285" s="5"/>
      <c r="M285" s="11"/>
      <c r="N285" s="4" t="str">
        <f>IF($C285="","",COUNTIF($C$3:$C$296,$C285))</f>
        <v/>
      </c>
    </row>
    <row r="286" spans="12:14" x14ac:dyDescent="0.35">
      <c r="L286" s="5"/>
      <c r="M286" s="11"/>
      <c r="N286" s="4" t="str">
        <f>IF($C286="","",COUNTIF($C$3:$C$296,$C286))</f>
        <v/>
      </c>
    </row>
    <row r="287" spans="12:14" x14ac:dyDescent="0.35">
      <c r="L287" s="5"/>
      <c r="M287" s="11"/>
      <c r="N287" s="4" t="str">
        <f>IF($C287="","",COUNTIF($C$3:$C$296,$C287))</f>
        <v/>
      </c>
    </row>
    <row r="288" spans="12:14" x14ac:dyDescent="0.35">
      <c r="L288" s="5"/>
      <c r="M288" s="11"/>
      <c r="N288" s="4" t="str">
        <f>IF($C288="","",COUNTIF($C$3:$C$296,$C288))</f>
        <v/>
      </c>
    </row>
    <row r="289" spans="12:14" x14ac:dyDescent="0.35">
      <c r="L289" s="5"/>
      <c r="M289" s="11"/>
      <c r="N289" s="4" t="str">
        <f>IF($C289="","",COUNTIF($C$3:$C$296,$C289))</f>
        <v/>
      </c>
    </row>
    <row r="290" spans="12:14" x14ac:dyDescent="0.35">
      <c r="L290" s="5"/>
      <c r="M290" s="11"/>
      <c r="N290" s="4" t="str">
        <f>IF($C290="","",COUNTIF($C$3:$C$296,$C290))</f>
        <v/>
      </c>
    </row>
    <row r="291" spans="12:14" x14ac:dyDescent="0.35">
      <c r="L291" s="5"/>
      <c r="M291" s="11"/>
      <c r="N291" s="4" t="str">
        <f>IF($C291="","",COUNTIF($C$3:$C$296,$C291))</f>
        <v/>
      </c>
    </row>
    <row r="292" spans="12:14" x14ac:dyDescent="0.35">
      <c r="L292" s="5"/>
      <c r="M292" s="11"/>
      <c r="N292" s="4" t="str">
        <f>IF($C292="","",COUNTIF($C$3:$C$296,$C292))</f>
        <v/>
      </c>
    </row>
    <row r="293" spans="12:14" x14ac:dyDescent="0.35">
      <c r="L293" s="5"/>
      <c r="M293" s="11"/>
      <c r="N293" s="4" t="str">
        <f>IF($C293="","",COUNTIF($C$3:$C$296,$C293))</f>
        <v/>
      </c>
    </row>
    <row r="294" spans="12:14" x14ac:dyDescent="0.35">
      <c r="L294" s="5"/>
      <c r="M294" s="11"/>
      <c r="N294" s="4" t="str">
        <f>IF($C294="","",COUNTIF($C$3:$C$296,$C294))</f>
        <v/>
      </c>
    </row>
    <row r="295" spans="12:14" x14ac:dyDescent="0.35">
      <c r="L295" s="5"/>
      <c r="M295" s="11"/>
      <c r="N295" s="4" t="str">
        <f>IF($C295="","",COUNTIF($C$3:$C$296,$C295))</f>
        <v/>
      </c>
    </row>
    <row r="296" spans="12:14" x14ac:dyDescent="0.35">
      <c r="L296" s="5"/>
      <c r="M296" s="11"/>
      <c r="N296" s="4" t="str">
        <f>IF($C296="","",COUNTIF($C$3:$C$296,$C296))</f>
        <v/>
      </c>
    </row>
  </sheetData>
  <mergeCells count="1">
    <mergeCell ref="A1:N1"/>
  </mergeCells>
  <conditionalFormatting sqref="F3:F296">
    <cfRule type="cellIs" dxfId="3" priority="2" operator="equal">
      <formula>"🟢 Concluído"</formula>
    </cfRule>
    <cfRule type="cellIs" dxfId="2" priority="3" operator="equal">
      <formula>"🟡 Em andamento"</formula>
    </cfRule>
    <cfRule type="cellIs" dxfId="1" priority="4" operator="equal">
      <formula>"🔴 Bloqueado"</formula>
    </cfRule>
  </conditionalFormatting>
  <conditionalFormatting sqref="N3:N296">
    <cfRule type="expression" dxfId="0" priority="5">
      <formula>AND($C3&lt;&gt;"",$N3&gt;=3)</formula>
    </cfRule>
  </conditionalFormatting>
  <dataValidations count="4">
    <dataValidation type="list" allowBlank="1" errorTitle="Valor inválido" error="Selecione um valor da lista." sqref="A3:A296" xr:uid="{00000000-0002-0000-0200-000000000000}">
      <formula1>EquipePI</formula1>
      <formula2>0</formula2>
    </dataValidation>
    <dataValidation type="list" allowBlank="1" showErrorMessage="1" errorTitle="Valor inválido" error="Selecione um valor da lista." sqref="F3:F296" xr:uid="{00000000-0002-0000-0200-000001000000}">
      <formula1>StatusSemana</formula1>
      <formula2>0</formula2>
    </dataValidation>
    <dataValidation type="list" allowBlank="1" showErrorMessage="1" errorTitle="Valor inválido" error="Selecione um valor da lista." sqref="G3:G296" xr:uid="{00000000-0002-0000-0200-000002000000}">
      <formula1>MotivoStatus</formula1>
      <formula2>0</formula2>
    </dataValidation>
    <dataValidation type="list" allowBlank="1" showErrorMessage="1" errorTitle="Valor inválido" error="Selecione um valor da lista." sqref="J3:J296" xr:uid="{00000000-0002-0000-0200-000003000000}">
      <formula1>SimNao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showGridLines="0" zoomScaleNormal="100" workbookViewId="0">
      <selection activeCell="A2" sqref="A2:I2"/>
    </sheetView>
  </sheetViews>
  <sheetFormatPr defaultColWidth="8.6328125" defaultRowHeight="14.5" x14ac:dyDescent="0.35"/>
  <cols>
    <col min="1" max="1" width="16" customWidth="1"/>
    <col min="2" max="3" width="12" customWidth="1"/>
    <col min="4" max="4" width="20" customWidth="1"/>
    <col min="5" max="5" width="32" customWidth="1"/>
    <col min="6" max="6" width="24" customWidth="1"/>
    <col min="7" max="7" width="18" customWidth="1"/>
    <col min="8" max="8" width="16" customWidth="1"/>
    <col min="12" max="12" width="5" customWidth="1"/>
  </cols>
  <sheetData>
    <row r="1" spans="1:9" ht="27.75" customHeight="1" x14ac:dyDescent="0.35">
      <c r="A1" s="34" t="s">
        <v>237</v>
      </c>
      <c r="B1" s="34"/>
      <c r="C1" s="34"/>
      <c r="D1" s="34"/>
      <c r="E1" s="34"/>
      <c r="F1" s="34"/>
      <c r="G1" s="34"/>
      <c r="H1" s="34"/>
      <c r="I1" s="34"/>
    </row>
    <row r="2" spans="1:9" x14ac:dyDescent="0.35">
      <c r="A2" s="49" t="s">
        <v>238</v>
      </c>
      <c r="B2" s="49"/>
      <c r="C2" s="49"/>
      <c r="D2" s="49"/>
      <c r="E2" s="49"/>
      <c r="F2" s="49"/>
      <c r="G2" s="49"/>
      <c r="H2" s="49"/>
      <c r="I2" s="49"/>
    </row>
    <row r="4" spans="1:9" ht="19.5" customHeight="1" x14ac:dyDescent="0.35">
      <c r="A4" s="32" t="s">
        <v>239</v>
      </c>
      <c r="B4" s="32"/>
      <c r="C4" s="32"/>
      <c r="D4" s="32"/>
      <c r="E4" s="32"/>
      <c r="F4" s="32"/>
      <c r="G4" s="32"/>
      <c r="H4" s="32"/>
      <c r="I4" s="32"/>
    </row>
    <row r="5" spans="1:9" x14ac:dyDescent="0.35">
      <c r="A5" s="12" t="s">
        <v>240</v>
      </c>
      <c r="B5" s="39" t="s">
        <v>223</v>
      </c>
      <c r="C5" s="39"/>
      <c r="D5" s="39"/>
    </row>
    <row r="6" spans="1:9" x14ac:dyDescent="0.35">
      <c r="A6" s="12" t="s">
        <v>241</v>
      </c>
      <c r="B6" s="13">
        <v>46209</v>
      </c>
      <c r="C6" s="4" t="s">
        <v>242</v>
      </c>
      <c r="D6" s="13">
        <v>46213</v>
      </c>
    </row>
    <row r="8" spans="1:9" ht="19.5" customHeight="1" x14ac:dyDescent="0.35">
      <c r="A8" s="32" t="s">
        <v>243</v>
      </c>
      <c r="B8" s="32"/>
      <c r="C8" s="32"/>
      <c r="D8" s="32"/>
      <c r="E8" s="32"/>
      <c r="F8" s="32"/>
      <c r="G8" s="32"/>
      <c r="H8" s="32"/>
      <c r="I8" s="32"/>
    </row>
    <row r="9" spans="1:9" x14ac:dyDescent="0.35">
      <c r="A9" s="38" t="s">
        <v>244</v>
      </c>
      <c r="B9" s="38"/>
      <c r="C9" s="38"/>
      <c r="D9" s="38"/>
      <c r="E9" s="14">
        <f>COUNTIF('Acomp. Equipe'!$C$3:$C$296,"&lt;&gt;")</f>
        <v>4</v>
      </c>
    </row>
    <row r="10" spans="1:9" x14ac:dyDescent="0.35">
      <c r="A10" s="38" t="s">
        <v>245</v>
      </c>
      <c r="B10" s="38"/>
      <c r="C10" s="38"/>
      <c r="D10" s="38"/>
      <c r="E10" s="14">
        <f>SUMPRODUCT(('Acomp. Equipe'!$C$3:$C$296&lt;&gt;"")/COUNTIF('Acomp. Equipe'!$C$3:$C$296,'Acomp. Equipe'!$C$3:$C$296&amp;""))</f>
        <v>3</v>
      </c>
    </row>
    <row r="11" spans="1:9" x14ac:dyDescent="0.35">
      <c r="A11" s="38" t="s">
        <v>246</v>
      </c>
      <c r="B11" s="38"/>
      <c r="C11" s="38"/>
      <c r="D11" s="38"/>
      <c r="E11" s="14">
        <f>COUNTIF('Acomp. Equipe'!$F$3:$F$296,"🟢 Concluído")</f>
        <v>0</v>
      </c>
    </row>
    <row r="12" spans="1:9" x14ac:dyDescent="0.35">
      <c r="A12" s="38" t="s">
        <v>220</v>
      </c>
      <c r="B12" s="38"/>
      <c r="C12" s="38"/>
      <c r="D12" s="38"/>
      <c r="E12" s="14">
        <f>COUNTIF('Acomp. Equipe'!$F$3:$F$296,"🟡 Em andamento")</f>
        <v>2</v>
      </c>
    </row>
    <row r="13" spans="1:9" x14ac:dyDescent="0.35">
      <c r="A13" s="38" t="s">
        <v>247</v>
      </c>
      <c r="B13" s="38"/>
      <c r="C13" s="38"/>
      <c r="D13" s="38"/>
      <c r="E13" s="14">
        <f>COUNTIF('Acomp. Equipe'!$F$3:$F$296,"🔴 Bloqueado")</f>
        <v>0</v>
      </c>
    </row>
    <row r="14" spans="1:9" x14ac:dyDescent="0.35">
      <c r="A14" s="38" t="s">
        <v>248</v>
      </c>
      <c r="B14" s="38"/>
      <c r="C14" s="38"/>
      <c r="D14" s="38"/>
      <c r="E14" s="14">
        <f>COUNTIF('Acomp. Equipe'!$F$3:$F$296,"⏸ Aguardando Terceiros")</f>
        <v>2</v>
      </c>
    </row>
    <row r="15" spans="1:9" x14ac:dyDescent="0.35">
      <c r="A15" s="38" t="s">
        <v>249</v>
      </c>
      <c r="B15" s="38"/>
      <c r="C15" s="38"/>
      <c r="D15" s="38"/>
      <c r="E15" s="14">
        <f>COUNTIFS('Acomp. Equipe'!$J$3:$J$296,"Sim",'Acomp. Equipe'!$F$3:$F$296,"&lt;&gt;🟢 Concluído")</f>
        <v>2</v>
      </c>
    </row>
    <row r="16" spans="1:9" x14ac:dyDescent="0.35">
      <c r="A16" s="38" t="s">
        <v>250</v>
      </c>
      <c r="B16" s="38"/>
      <c r="C16" s="38"/>
      <c r="D16" s="38"/>
      <c r="E16" s="14">
        <f>SUMPRODUCT(('Acomp. Equipe'!$A$3:$A$296&lt;&gt;"")/COUNTIF('Acomp. Equipe'!$A$3:$A$296,'Acomp. Equipe'!$A$3:$A$296&amp;""))</f>
        <v>1</v>
      </c>
    </row>
    <row r="17" spans="1:12" x14ac:dyDescent="0.35">
      <c r="A17" s="38" t="s">
        <v>251</v>
      </c>
      <c r="B17" s="38"/>
      <c r="C17" s="38"/>
      <c r="D17" s="38"/>
      <c r="E17" s="14">
        <f>COUNTIFS('Base Gerencial'!$S$2:$S$2000,"Concluído",'Base Gerencial'!$D$2:$D$2000,"&gt;="&amp;$B$6,'Base Gerencial'!$D$2:$D$2000,"&lt;="&amp;$D$6,'Base Gerencial'!$O$2:$O$2000,"&lt;&gt;Apoio")</f>
        <v>3</v>
      </c>
    </row>
    <row r="18" spans="1:12" x14ac:dyDescent="0.35">
      <c r="A18" s="38" t="s">
        <v>252</v>
      </c>
      <c r="B18" s="38"/>
      <c r="C18" s="38"/>
      <c r="D18" s="38"/>
      <c r="E18" s="15">
        <f>SUMIFS('Base Gerencial'!$T$2:$T$2000,'Base Gerencial'!$S$2:$S$2000,"Concluído",'Base Gerencial'!$D$2:$D$2000,"&gt;="&amp;$B$6,'Base Gerencial'!$D$2:$D$2000,"&lt;="&amp;$D$6)</f>
        <v>32</v>
      </c>
    </row>
    <row r="19" spans="1:12" x14ac:dyDescent="0.35">
      <c r="A19" s="38" t="s">
        <v>253</v>
      </c>
      <c r="B19" s="38"/>
      <c r="C19" s="38"/>
      <c r="D19" s="38"/>
      <c r="E19" s="15">
        <f>SUMIFS('Base Gerencial'!$W$2:$W$2000,'Base Gerencial'!$S$2:$S$2000,"Concluído",'Base Gerencial'!$D$2:$D$2000,"&gt;="&amp;$B$6,'Base Gerencial'!$D$2:$D$2000,"&lt;="&amp;$D$6,'Base Gerencial'!$O$2:$O$2000,"&lt;&gt;Apoio")</f>
        <v>131</v>
      </c>
    </row>
    <row r="21" spans="1:12" ht="19.5" customHeight="1" x14ac:dyDescent="0.35">
      <c r="A21" s="32" t="s">
        <v>254</v>
      </c>
      <c r="B21" s="32"/>
      <c r="C21" s="32"/>
      <c r="D21" s="32"/>
      <c r="E21" s="32"/>
      <c r="F21" s="32"/>
      <c r="G21" s="32"/>
      <c r="H21" s="32"/>
      <c r="I21" s="32"/>
    </row>
    <row r="22" spans="1:12" x14ac:dyDescent="0.35">
      <c r="A22" s="1" t="s">
        <v>27</v>
      </c>
      <c r="B22" s="1" t="s">
        <v>207</v>
      </c>
      <c r="C22" s="1" t="s">
        <v>208</v>
      </c>
      <c r="D22" s="1" t="s">
        <v>32</v>
      </c>
      <c r="E22" s="1" t="s">
        <v>209</v>
      </c>
      <c r="F22" s="1" t="s">
        <v>255</v>
      </c>
      <c r="G22" s="1" t="s">
        <v>256</v>
      </c>
      <c r="H22" s="1" t="s">
        <v>257</v>
      </c>
    </row>
    <row r="23" spans="1:12" x14ac:dyDescent="0.35">
      <c r="A23" s="16" t="str">
        <f>IF($L23="","",INDEX('Acomp. Equipe'!$A:$A,$L23))</f>
        <v/>
      </c>
      <c r="B23" s="16" t="str">
        <f>IF($L23="","",INDEX('Acomp. Equipe'!$B:$B,$L23))</f>
        <v/>
      </c>
      <c r="C23" s="16" t="str">
        <f>IF($L23="","",INDEX('Acomp. Equipe'!$C:$C,$L23))</f>
        <v/>
      </c>
      <c r="D23" s="16" t="str">
        <f>IF($L23="","",INDEX('Acomp. Equipe'!$D:$D,$L23))</f>
        <v/>
      </c>
      <c r="E23" s="16" t="str">
        <f>IF($L23="","",INDEX('Acomp. Equipe'!$E:$E,$L23))</f>
        <v/>
      </c>
      <c r="F23" s="16" t="str">
        <f>IF($L23="","",INDEX('Acomp. Equipe'!$G:$G,$L23))</f>
        <v/>
      </c>
      <c r="G23" s="17" t="str">
        <f>IF($L23="","",INDEX('Acomp. Equipe'!$L:$L,$L23))</f>
        <v/>
      </c>
      <c r="H23" s="16" t="str">
        <f>IF($L23="","",INDEX('Acomp. Equipe'!$N:$N,$L23))</f>
        <v/>
      </c>
      <c r="L23" s="18" t="str">
        <f>IFERROR(_xlfn.AGGREGATE(15,6,ROW('Acomp. Equipe'!$C$3:$C$296)/(('Acomp. Equipe'!$F$3:$F$296="🔴 Bloqueado")),1),"")</f>
        <v/>
      </c>
    </row>
    <row r="24" spans="1:12" x14ac:dyDescent="0.35">
      <c r="A24" s="16" t="str">
        <f>IF($L24="","",INDEX('Acomp. Equipe'!$A:$A,$L24))</f>
        <v/>
      </c>
      <c r="B24" s="16" t="str">
        <f>IF($L24="","",INDEX('Acomp. Equipe'!$B:$B,$L24))</f>
        <v/>
      </c>
      <c r="C24" s="16" t="str">
        <f>IF($L24="","",INDEX('Acomp. Equipe'!$C:$C,$L24))</f>
        <v/>
      </c>
      <c r="D24" s="16" t="str">
        <f>IF($L24="","",INDEX('Acomp. Equipe'!$D:$D,$L24))</f>
        <v/>
      </c>
      <c r="E24" s="16" t="str">
        <f>IF($L24="","",INDEX('Acomp. Equipe'!$E:$E,$L24))</f>
        <v/>
      </c>
      <c r="F24" s="16" t="str">
        <f>IF($L24="","",INDEX('Acomp. Equipe'!$G:$G,$L24))</f>
        <v/>
      </c>
      <c r="G24" s="17" t="str">
        <f>IF($L24="","",INDEX('Acomp. Equipe'!$L:$L,$L24))</f>
        <v/>
      </c>
      <c r="H24" s="16" t="str">
        <f>IF($L24="","",INDEX('Acomp. Equipe'!$N:$N,$L24))</f>
        <v/>
      </c>
      <c r="L24" s="18" t="str">
        <f>IFERROR(_xlfn.AGGREGATE(15,6,ROW('Acomp. Equipe'!$C$3:$C$296)/(('Acomp. Equipe'!$F$3:$F$296="🔴 Bloqueado")),2),"")</f>
        <v/>
      </c>
    </row>
    <row r="25" spans="1:12" x14ac:dyDescent="0.35">
      <c r="A25" s="16" t="str">
        <f>IF($L25="","",INDEX('Acomp. Equipe'!$A:$A,$L25))</f>
        <v/>
      </c>
      <c r="B25" s="16" t="str">
        <f>IF($L25="","",INDEX('Acomp. Equipe'!$B:$B,$L25))</f>
        <v/>
      </c>
      <c r="C25" s="16" t="str">
        <f>IF($L25="","",INDEX('Acomp. Equipe'!$C:$C,$L25))</f>
        <v/>
      </c>
      <c r="D25" s="16" t="str">
        <f>IF($L25="","",INDEX('Acomp. Equipe'!$D:$D,$L25))</f>
        <v/>
      </c>
      <c r="E25" s="16" t="str">
        <f>IF($L25="","",INDEX('Acomp. Equipe'!$E:$E,$L25))</f>
        <v/>
      </c>
      <c r="F25" s="16" t="str">
        <f>IF($L25="","",INDEX('Acomp. Equipe'!$G:$G,$L25))</f>
        <v/>
      </c>
      <c r="G25" s="17" t="str">
        <f>IF($L25="","",INDEX('Acomp. Equipe'!$L:$L,$L25))</f>
        <v/>
      </c>
      <c r="H25" s="16" t="str">
        <f>IF($L25="","",INDEX('Acomp. Equipe'!$N:$N,$L25))</f>
        <v/>
      </c>
      <c r="L25" s="18" t="str">
        <f>IFERROR(_xlfn.AGGREGATE(15,6,ROW('Acomp. Equipe'!$C$3:$C$296)/(('Acomp. Equipe'!$F$3:$F$296="🔴 Bloqueado")),3),"")</f>
        <v/>
      </c>
    </row>
    <row r="26" spans="1:12" x14ac:dyDescent="0.35">
      <c r="A26" s="16" t="str">
        <f>IF($L26="","",INDEX('Acomp. Equipe'!$A:$A,$L26))</f>
        <v/>
      </c>
      <c r="B26" s="16" t="str">
        <f>IF($L26="","",INDEX('Acomp. Equipe'!$B:$B,$L26))</f>
        <v/>
      </c>
      <c r="C26" s="16" t="str">
        <f>IF($L26="","",INDEX('Acomp. Equipe'!$C:$C,$L26))</f>
        <v/>
      </c>
      <c r="D26" s="16" t="str">
        <f>IF($L26="","",INDEX('Acomp. Equipe'!$D:$D,$L26))</f>
        <v/>
      </c>
      <c r="E26" s="16" t="str">
        <f>IF($L26="","",INDEX('Acomp. Equipe'!$E:$E,$L26))</f>
        <v/>
      </c>
      <c r="F26" s="16" t="str">
        <f>IF($L26="","",INDEX('Acomp. Equipe'!$G:$G,$L26))</f>
        <v/>
      </c>
      <c r="G26" s="17" t="str">
        <f>IF($L26="","",INDEX('Acomp. Equipe'!$L:$L,$L26))</f>
        <v/>
      </c>
      <c r="H26" s="16" t="str">
        <f>IF($L26="","",INDEX('Acomp. Equipe'!$N:$N,$L26))</f>
        <v/>
      </c>
      <c r="L26" s="18" t="str">
        <f>IFERROR(_xlfn.AGGREGATE(15,6,ROW('Acomp. Equipe'!$C$3:$C$296)/(('Acomp. Equipe'!$F$3:$F$296="🔴 Bloqueado")),4),"")</f>
        <v/>
      </c>
    </row>
    <row r="27" spans="1:12" x14ac:dyDescent="0.35">
      <c r="A27" s="16" t="str">
        <f>IF($L27="","",INDEX('Acomp. Equipe'!$A:$A,$L27))</f>
        <v/>
      </c>
      <c r="B27" s="16" t="str">
        <f>IF($L27="","",INDEX('Acomp. Equipe'!$B:$B,$L27))</f>
        <v/>
      </c>
      <c r="C27" s="16" t="str">
        <f>IF($L27="","",INDEX('Acomp. Equipe'!$C:$C,$L27))</f>
        <v/>
      </c>
      <c r="D27" s="16" t="str">
        <f>IF($L27="","",INDEX('Acomp. Equipe'!$D:$D,$L27))</f>
        <v/>
      </c>
      <c r="E27" s="16" t="str">
        <f>IF($L27="","",INDEX('Acomp. Equipe'!$E:$E,$L27))</f>
        <v/>
      </c>
      <c r="F27" s="16" t="str">
        <f>IF($L27="","",INDEX('Acomp. Equipe'!$G:$G,$L27))</f>
        <v/>
      </c>
      <c r="G27" s="17" t="str">
        <f>IF($L27="","",INDEX('Acomp. Equipe'!$L:$L,$L27))</f>
        <v/>
      </c>
      <c r="H27" s="16" t="str">
        <f>IF($L27="","",INDEX('Acomp. Equipe'!$N:$N,$L27))</f>
        <v/>
      </c>
      <c r="L27" s="18" t="str">
        <f>IFERROR(_xlfn.AGGREGATE(15,6,ROW('Acomp. Equipe'!$C$3:$C$296)/(('Acomp. Equipe'!$F$3:$F$296="🔴 Bloqueado")),5),"")</f>
        <v/>
      </c>
    </row>
    <row r="28" spans="1:12" x14ac:dyDescent="0.35">
      <c r="A28" s="16" t="str">
        <f>IF($L28="","",INDEX('Acomp. Equipe'!$A:$A,$L28))</f>
        <v/>
      </c>
      <c r="B28" s="16" t="str">
        <f>IF($L28="","",INDEX('Acomp. Equipe'!$B:$B,$L28))</f>
        <v/>
      </c>
      <c r="C28" s="16" t="str">
        <f>IF($L28="","",INDEX('Acomp. Equipe'!$C:$C,$L28))</f>
        <v/>
      </c>
      <c r="D28" s="16" t="str">
        <f>IF($L28="","",INDEX('Acomp. Equipe'!$D:$D,$L28))</f>
        <v/>
      </c>
      <c r="E28" s="16" t="str">
        <f>IF($L28="","",INDEX('Acomp. Equipe'!$E:$E,$L28))</f>
        <v/>
      </c>
      <c r="F28" s="16" t="str">
        <f>IF($L28="","",INDEX('Acomp. Equipe'!$G:$G,$L28))</f>
        <v/>
      </c>
      <c r="G28" s="17" t="str">
        <f>IF($L28="","",INDEX('Acomp. Equipe'!$L:$L,$L28))</f>
        <v/>
      </c>
      <c r="H28" s="16" t="str">
        <f>IF($L28="","",INDEX('Acomp. Equipe'!$N:$N,$L28))</f>
        <v/>
      </c>
      <c r="L28" s="18" t="str">
        <f>IFERROR(_xlfn.AGGREGATE(15,6,ROW('Acomp. Equipe'!$C$3:$C$296)/(('Acomp. Equipe'!$F$3:$F$296="🔴 Bloqueado")),6),"")</f>
        <v/>
      </c>
    </row>
    <row r="29" spans="1:12" x14ac:dyDescent="0.35">
      <c r="A29" s="16" t="str">
        <f>IF($L29="","",INDEX('Acomp. Equipe'!$A:$A,$L29))</f>
        <v/>
      </c>
      <c r="B29" s="16" t="str">
        <f>IF($L29="","",INDEX('Acomp. Equipe'!$B:$B,$L29))</f>
        <v/>
      </c>
      <c r="C29" s="16" t="str">
        <f>IF($L29="","",INDEX('Acomp. Equipe'!$C:$C,$L29))</f>
        <v/>
      </c>
      <c r="D29" s="16" t="str">
        <f>IF($L29="","",INDEX('Acomp. Equipe'!$D:$D,$L29))</f>
        <v/>
      </c>
      <c r="E29" s="16" t="str">
        <f>IF($L29="","",INDEX('Acomp. Equipe'!$E:$E,$L29))</f>
        <v/>
      </c>
      <c r="F29" s="16" t="str">
        <f>IF($L29="","",INDEX('Acomp. Equipe'!$G:$G,$L29))</f>
        <v/>
      </c>
      <c r="G29" s="17" t="str">
        <f>IF($L29="","",INDEX('Acomp. Equipe'!$L:$L,$L29))</f>
        <v/>
      </c>
      <c r="H29" s="16" t="str">
        <f>IF($L29="","",INDEX('Acomp. Equipe'!$N:$N,$L29))</f>
        <v/>
      </c>
      <c r="L29" s="18" t="str">
        <f>IFERROR(_xlfn.AGGREGATE(15,6,ROW('Acomp. Equipe'!$C$3:$C$296)/(('Acomp. Equipe'!$F$3:$F$296="🔴 Bloqueado")),7),"")</f>
        <v/>
      </c>
    </row>
    <row r="30" spans="1:12" x14ac:dyDescent="0.35">
      <c r="A30" s="16" t="str">
        <f>IF($L30="","",INDEX('Acomp. Equipe'!$A:$A,$L30))</f>
        <v/>
      </c>
      <c r="B30" s="16" t="str">
        <f>IF($L30="","",INDEX('Acomp. Equipe'!$B:$B,$L30))</f>
        <v/>
      </c>
      <c r="C30" s="16" t="str">
        <f>IF($L30="","",INDEX('Acomp. Equipe'!$C:$C,$L30))</f>
        <v/>
      </c>
      <c r="D30" s="16" t="str">
        <f>IF($L30="","",INDEX('Acomp. Equipe'!$D:$D,$L30))</f>
        <v/>
      </c>
      <c r="E30" s="16" t="str">
        <f>IF($L30="","",INDEX('Acomp. Equipe'!$E:$E,$L30))</f>
        <v/>
      </c>
      <c r="F30" s="16" t="str">
        <f>IF($L30="","",INDEX('Acomp. Equipe'!$G:$G,$L30))</f>
        <v/>
      </c>
      <c r="G30" s="17" t="str">
        <f>IF($L30="","",INDEX('Acomp. Equipe'!$L:$L,$L30))</f>
        <v/>
      </c>
      <c r="H30" s="16" t="str">
        <f>IF($L30="","",INDEX('Acomp. Equipe'!$N:$N,$L30))</f>
        <v/>
      </c>
      <c r="L30" s="18" t="str">
        <f>IFERROR(_xlfn.AGGREGATE(15,6,ROW('Acomp. Equipe'!$C$3:$C$296)/(('Acomp. Equipe'!$F$3:$F$296="🔴 Bloqueado")),8),"")</f>
        <v/>
      </c>
    </row>
    <row r="32" spans="1:12" ht="19.5" customHeight="1" x14ac:dyDescent="0.35">
      <c r="A32" s="32" t="s">
        <v>258</v>
      </c>
      <c r="B32" s="32"/>
      <c r="C32" s="32"/>
      <c r="D32" s="32"/>
      <c r="E32" s="32"/>
      <c r="F32" s="32"/>
      <c r="G32" s="32"/>
      <c r="H32" s="32"/>
      <c r="I32" s="32"/>
    </row>
    <row r="33" spans="1:12" x14ac:dyDescent="0.35">
      <c r="A33" s="1" t="s">
        <v>27</v>
      </c>
      <c r="B33" s="1" t="s">
        <v>208</v>
      </c>
      <c r="C33" s="1" t="s">
        <v>32</v>
      </c>
      <c r="D33" s="1" t="s">
        <v>209</v>
      </c>
      <c r="E33" s="1" t="s">
        <v>255</v>
      </c>
      <c r="F33" s="1" t="s">
        <v>259</v>
      </c>
      <c r="G33" s="1" t="s">
        <v>257</v>
      </c>
      <c r="H33" s="1" t="s">
        <v>260</v>
      </c>
    </row>
    <row r="34" spans="1:12" x14ac:dyDescent="0.35">
      <c r="A34" s="16" t="str">
        <f>IF($L34="","",INDEX('Acomp. Equipe'!$A:$A,$L34))</f>
        <v>Filipe Messias</v>
      </c>
      <c r="B34" s="16" t="str">
        <f>IF($L34="","",INDEX('Acomp. Equipe'!$C:$C,$L34))</f>
        <v>FM-0006</v>
      </c>
      <c r="C34" s="16" t="str">
        <f>IF($L34="","",INDEX('Acomp. Equipe'!$D:$D,$L34))</f>
        <v>Rotina Fiscal/Contábil</v>
      </c>
      <c r="D34" s="16" t="str">
        <f>IF($L34="","",INDEX('Acomp. Equipe'!$E:$E,$L34))</f>
        <v>Conversor PDF para Excel de notas fiscais</v>
      </c>
      <c r="E34" s="16" t="str">
        <f>IF($L34="","",INDEX('Acomp. Equipe'!$G:$G,$L34))</f>
        <v>Aguardando outra área</v>
      </c>
      <c r="F34" s="16" t="str">
        <f>IF($L34="","",INDEX('Acomp. Equipe'!$K:$K,$L34))</f>
        <v>Recebimento Fiscal</v>
      </c>
      <c r="G34" s="16">
        <f>IF($L34="","",INDEX('Acomp. Equipe'!$N:$N,$L34))</f>
        <v>2</v>
      </c>
      <c r="H34" s="19"/>
      <c r="L34" s="18">
        <f>IFERROR(_xlfn.AGGREGATE(15,6,ROW('Acomp. Equipe'!$C$3:$C$296)/(('Acomp. Equipe'!$J$3:$J$296="Sim")*('Acomp. Equipe'!$F$3:$F$296&lt;&gt;"🟢 Concluído")),1),"")</f>
        <v>4</v>
      </c>
    </row>
    <row r="35" spans="1:12" x14ac:dyDescent="0.35">
      <c r="A35" s="16" t="str">
        <f>IF($L35="","",INDEX('Acomp. Equipe'!$A:$A,$L35))</f>
        <v>Filipe Messias</v>
      </c>
      <c r="B35" s="16" t="str">
        <f>IF($L35="","",INDEX('Acomp. Equipe'!$C:$C,$L35))</f>
        <v>FM-0007</v>
      </c>
      <c r="C35" s="16" t="str">
        <f>IF($L35="","",INDEX('Acomp. Equipe'!$D:$D,$L35))</f>
        <v>Rotina Fiscal/Contábil</v>
      </c>
      <c r="D35" s="16" t="str">
        <f>IF($L35="","",INDEX('Acomp. Equipe'!$E:$E,$L35))</f>
        <v>Excel Cleaner ETL para arquivos PIS/COFINS</v>
      </c>
      <c r="E35" s="16" t="str">
        <f>IF($L35="","",INDEX('Acomp. Equipe'!$G:$G,$L35))</f>
        <v>Em homologação</v>
      </c>
      <c r="F35" s="16" t="str">
        <f>IF($L35="","",INDEX('Acomp. Equipe'!$K:$K,$L35))</f>
        <v>TI</v>
      </c>
      <c r="G35" s="16">
        <f>IF($L35="","",INDEX('Acomp. Equipe'!$N:$N,$L35))</f>
        <v>1</v>
      </c>
      <c r="H35" s="19"/>
      <c r="L35" s="18">
        <f>IFERROR(_xlfn.AGGREGATE(15,6,ROW('Acomp. Equipe'!$C$3:$C$296)/(('Acomp. Equipe'!$J$3:$J$296="Sim")*('Acomp. Equipe'!$F$3:$F$296&lt;&gt;"🟢 Concluído")),2),"")</f>
        <v>6</v>
      </c>
    </row>
    <row r="36" spans="1:12" x14ac:dyDescent="0.35">
      <c r="A36" s="16" t="str">
        <f>IF($L36="","",INDEX('Acomp. Equipe'!$A:$A,$L36))</f>
        <v/>
      </c>
      <c r="B36" s="16" t="str">
        <f>IF($L36="","",INDEX('Acomp. Equipe'!$C:$C,$L36))</f>
        <v/>
      </c>
      <c r="C36" s="16" t="str">
        <f>IF($L36="","",INDEX('Acomp. Equipe'!$D:$D,$L36))</f>
        <v/>
      </c>
      <c r="D36" s="16" t="str">
        <f>IF($L36="","",INDEX('Acomp. Equipe'!$E:$E,$L36))</f>
        <v/>
      </c>
      <c r="E36" s="16" t="str">
        <f>IF($L36="","",INDEX('Acomp. Equipe'!$G:$G,$L36))</f>
        <v/>
      </c>
      <c r="F36" s="16" t="str">
        <f>IF($L36="","",INDEX('Acomp. Equipe'!$K:$K,$L36))</f>
        <v/>
      </c>
      <c r="G36" s="16" t="str">
        <f>IF($L36="","",INDEX('Acomp. Equipe'!$N:$N,$L36))</f>
        <v/>
      </c>
      <c r="H36" s="19"/>
      <c r="L36" s="18" t="str">
        <f>IFERROR(_xlfn.AGGREGATE(15,6,ROW('Acomp. Equipe'!$C$3:$C$296)/(('Acomp. Equipe'!$J$3:$J$296="Sim")*('Acomp. Equipe'!$F$3:$F$296&lt;&gt;"🟢 Concluído")),3),"")</f>
        <v/>
      </c>
    </row>
    <row r="37" spans="1:12" x14ac:dyDescent="0.35">
      <c r="A37" s="16" t="str">
        <f>IF($L37="","",INDEX('Acomp. Equipe'!$A:$A,$L37))</f>
        <v/>
      </c>
      <c r="B37" s="16" t="str">
        <f>IF($L37="","",INDEX('Acomp. Equipe'!$C:$C,$L37))</f>
        <v/>
      </c>
      <c r="C37" s="16" t="str">
        <f>IF($L37="","",INDEX('Acomp. Equipe'!$D:$D,$L37))</f>
        <v/>
      </c>
      <c r="D37" s="16" t="str">
        <f>IF($L37="","",INDEX('Acomp. Equipe'!$E:$E,$L37))</f>
        <v/>
      </c>
      <c r="E37" s="16" t="str">
        <f>IF($L37="","",INDEX('Acomp. Equipe'!$G:$G,$L37))</f>
        <v/>
      </c>
      <c r="F37" s="16" t="str">
        <f>IF($L37="","",INDEX('Acomp. Equipe'!$K:$K,$L37))</f>
        <v/>
      </c>
      <c r="G37" s="16" t="str">
        <f>IF($L37="","",INDEX('Acomp. Equipe'!$N:$N,$L37))</f>
        <v/>
      </c>
      <c r="H37" s="19"/>
      <c r="L37" s="18" t="str">
        <f>IFERROR(_xlfn.AGGREGATE(15,6,ROW('Acomp. Equipe'!$C$3:$C$296)/(('Acomp. Equipe'!$J$3:$J$296="Sim")*('Acomp. Equipe'!$F$3:$F$296&lt;&gt;"🟢 Concluído")),4),"")</f>
        <v/>
      </c>
    </row>
    <row r="38" spans="1:12" x14ac:dyDescent="0.35">
      <c r="A38" s="16" t="str">
        <f>IF($L38="","",INDEX('Acomp. Equipe'!$A:$A,$L38))</f>
        <v/>
      </c>
      <c r="B38" s="16" t="str">
        <f>IF($L38="","",INDEX('Acomp. Equipe'!$C:$C,$L38))</f>
        <v/>
      </c>
      <c r="C38" s="16" t="str">
        <f>IF($L38="","",INDEX('Acomp. Equipe'!$D:$D,$L38))</f>
        <v/>
      </c>
      <c r="D38" s="16" t="str">
        <f>IF($L38="","",INDEX('Acomp. Equipe'!$E:$E,$L38))</f>
        <v/>
      </c>
      <c r="E38" s="16" t="str">
        <f>IF($L38="","",INDEX('Acomp. Equipe'!$G:$G,$L38))</f>
        <v/>
      </c>
      <c r="F38" s="16" t="str">
        <f>IF($L38="","",INDEX('Acomp. Equipe'!$K:$K,$L38))</f>
        <v/>
      </c>
      <c r="G38" s="16" t="str">
        <f>IF($L38="","",INDEX('Acomp. Equipe'!$N:$N,$L38))</f>
        <v/>
      </c>
      <c r="H38" s="19"/>
      <c r="L38" s="18" t="str">
        <f>IFERROR(_xlfn.AGGREGATE(15,6,ROW('Acomp. Equipe'!$C$3:$C$296)/(('Acomp. Equipe'!$J$3:$J$296="Sim")*('Acomp. Equipe'!$F$3:$F$296&lt;&gt;"🟢 Concluído")),5),"")</f>
        <v/>
      </c>
    </row>
    <row r="39" spans="1:12" x14ac:dyDescent="0.35">
      <c r="A39" s="16" t="str">
        <f>IF($L39="","",INDEX('Acomp. Equipe'!$A:$A,$L39))</f>
        <v/>
      </c>
      <c r="B39" s="16" t="str">
        <f>IF($L39="","",INDEX('Acomp. Equipe'!$C:$C,$L39))</f>
        <v/>
      </c>
      <c r="C39" s="16" t="str">
        <f>IF($L39="","",INDEX('Acomp. Equipe'!$D:$D,$L39))</f>
        <v/>
      </c>
      <c r="D39" s="16" t="str">
        <f>IF($L39="","",INDEX('Acomp. Equipe'!$E:$E,$L39))</f>
        <v/>
      </c>
      <c r="E39" s="16" t="str">
        <f>IF($L39="","",INDEX('Acomp. Equipe'!$G:$G,$L39))</f>
        <v/>
      </c>
      <c r="F39" s="16" t="str">
        <f>IF($L39="","",INDEX('Acomp. Equipe'!$K:$K,$L39))</f>
        <v/>
      </c>
      <c r="G39" s="16" t="str">
        <f>IF($L39="","",INDEX('Acomp. Equipe'!$N:$N,$L39))</f>
        <v/>
      </c>
      <c r="H39" s="19"/>
      <c r="L39" s="18" t="str">
        <f>IFERROR(_xlfn.AGGREGATE(15,6,ROW('Acomp. Equipe'!$C$3:$C$296)/(('Acomp. Equipe'!$J$3:$J$296="Sim")*('Acomp. Equipe'!$F$3:$F$296&lt;&gt;"🟢 Concluído")),6),"")</f>
        <v/>
      </c>
    </row>
    <row r="40" spans="1:12" x14ac:dyDescent="0.35">
      <c r="A40" s="16" t="str">
        <f>IF($L40="","",INDEX('Acomp. Equipe'!$A:$A,$L40))</f>
        <v/>
      </c>
      <c r="B40" s="16" t="str">
        <f>IF($L40="","",INDEX('Acomp. Equipe'!$C:$C,$L40))</f>
        <v/>
      </c>
      <c r="C40" s="16" t="str">
        <f>IF($L40="","",INDEX('Acomp. Equipe'!$D:$D,$L40))</f>
        <v/>
      </c>
      <c r="D40" s="16" t="str">
        <f>IF($L40="","",INDEX('Acomp. Equipe'!$E:$E,$L40))</f>
        <v/>
      </c>
      <c r="E40" s="16" t="str">
        <f>IF($L40="","",INDEX('Acomp. Equipe'!$G:$G,$L40))</f>
        <v/>
      </c>
      <c r="F40" s="16" t="str">
        <f>IF($L40="","",INDEX('Acomp. Equipe'!$K:$K,$L40))</f>
        <v/>
      </c>
      <c r="G40" s="16" t="str">
        <f>IF($L40="","",INDEX('Acomp. Equipe'!$N:$N,$L40))</f>
        <v/>
      </c>
      <c r="H40" s="19"/>
      <c r="L40" s="18" t="str">
        <f>IFERROR(_xlfn.AGGREGATE(15,6,ROW('Acomp. Equipe'!$C$3:$C$296)/(('Acomp. Equipe'!$J$3:$J$296="Sim")*('Acomp. Equipe'!$F$3:$F$296&lt;&gt;"🟢 Concluído")),7),"")</f>
        <v/>
      </c>
    </row>
    <row r="41" spans="1:12" x14ac:dyDescent="0.35">
      <c r="A41" s="16" t="str">
        <f>IF($L41="","",INDEX('Acomp. Equipe'!$A:$A,$L41))</f>
        <v/>
      </c>
      <c r="B41" s="16" t="str">
        <f>IF($L41="","",INDEX('Acomp. Equipe'!$C:$C,$L41))</f>
        <v/>
      </c>
      <c r="C41" s="16" t="str">
        <f>IF($L41="","",INDEX('Acomp. Equipe'!$D:$D,$L41))</f>
        <v/>
      </c>
      <c r="D41" s="16" t="str">
        <f>IF($L41="","",INDEX('Acomp. Equipe'!$E:$E,$L41))</f>
        <v/>
      </c>
      <c r="E41" s="16" t="str">
        <f>IF($L41="","",INDEX('Acomp. Equipe'!$G:$G,$L41))</f>
        <v/>
      </c>
      <c r="F41" s="16" t="str">
        <f>IF($L41="","",INDEX('Acomp. Equipe'!$K:$K,$L41))</f>
        <v/>
      </c>
      <c r="G41" s="16" t="str">
        <f>IF($L41="","",INDEX('Acomp. Equipe'!$N:$N,$L41))</f>
        <v/>
      </c>
      <c r="H41" s="19"/>
      <c r="L41" s="18" t="str">
        <f>IFERROR(_xlfn.AGGREGATE(15,6,ROW('Acomp. Equipe'!$C$3:$C$296)/(('Acomp. Equipe'!$J$3:$J$296="Sim")*('Acomp. Equipe'!$F$3:$F$296&lt;&gt;"🟢 Concluído")),8),"")</f>
        <v/>
      </c>
    </row>
    <row r="43" spans="1:12" ht="19.5" customHeight="1" x14ac:dyDescent="0.35">
      <c r="A43" s="32" t="s">
        <v>261</v>
      </c>
      <c r="B43" s="32"/>
      <c r="C43" s="32"/>
      <c r="D43" s="32"/>
      <c r="E43" s="32"/>
      <c r="F43" s="32"/>
      <c r="G43" s="32"/>
      <c r="H43" s="32"/>
      <c r="I43" s="32"/>
    </row>
    <row r="44" spans="1:12" x14ac:dyDescent="0.35">
      <c r="A44" s="1" t="s">
        <v>27</v>
      </c>
      <c r="B44" s="1" t="s">
        <v>208</v>
      </c>
      <c r="C44" s="1" t="s">
        <v>32</v>
      </c>
      <c r="D44" s="1" t="s">
        <v>209</v>
      </c>
      <c r="E44" s="1" t="s">
        <v>213</v>
      </c>
      <c r="F44" s="1" t="s">
        <v>256</v>
      </c>
      <c r="G44" s="1" t="s">
        <v>262</v>
      </c>
      <c r="H44" s="1" t="s">
        <v>257</v>
      </c>
    </row>
    <row r="45" spans="1:12" x14ac:dyDescent="0.35">
      <c r="A45" s="16" t="str">
        <f>IF($L45="","",INDEX('Acomp. Equipe'!$A:$A,$L45))</f>
        <v>Filipe Messias</v>
      </c>
      <c r="B45" s="16" t="str">
        <f>IF($L45="","",INDEX('Acomp. Equipe'!$C:$C,$L45))</f>
        <v>FM-0006</v>
      </c>
      <c r="C45" s="16" t="str">
        <f>IF($L45="","",INDEX('Acomp. Equipe'!$D:$D,$L45))</f>
        <v>Rotina Fiscal/Contábil</v>
      </c>
      <c r="D45" s="16" t="str">
        <f>IF($L45="","",INDEX('Acomp. Equipe'!$E:$E,$L45))</f>
        <v>Conversor PDF para Excel de notas fiscais</v>
      </c>
      <c r="E45" s="16" t="str">
        <f>IF($L45="","",INDEX('Acomp. Equipe'!$I:$I,$L45))</f>
        <v>Enviar amostra à área fiscal</v>
      </c>
      <c r="F45" s="17">
        <f>IF($L45="","",INDEX('Acomp. Equipe'!$L:$L,$L45))</f>
        <v>46213</v>
      </c>
      <c r="G45" s="20">
        <f>IF($L45="","",INDEX('Acomp. Equipe'!$M:$M,$L45))</f>
        <v>0.8</v>
      </c>
      <c r="H45" s="16">
        <f>IF($L45="","",INDEX('Acomp. Equipe'!$N:$N,$L45))</f>
        <v>2</v>
      </c>
      <c r="L45" s="18">
        <f>IFERROR(_xlfn.AGGREGATE(15,6,ROW('Acomp. Equipe'!$C$3:$C$296)/((('Acomp. Equipe'!$F$3:$F$296="🟡 Em andamento")+('Acomp. Equipe'!$F$3:$F$296="⏸ Aguardando Terceiros")+('Acomp. Equipe'!$F$3:$F$296="⚪ Não iniciado"))),1),"")</f>
        <v>3</v>
      </c>
    </row>
    <row r="46" spans="1:12" x14ac:dyDescent="0.35">
      <c r="A46" s="16" t="str">
        <f>IF($L46="","",INDEX('Acomp. Equipe'!$A:$A,$L46))</f>
        <v>Filipe Messias</v>
      </c>
      <c r="B46" s="16" t="str">
        <f>IF($L46="","",INDEX('Acomp. Equipe'!$C:$C,$L46))</f>
        <v>FM-0006</v>
      </c>
      <c r="C46" s="16" t="str">
        <f>IF($L46="","",INDEX('Acomp. Equipe'!$D:$D,$L46))</f>
        <v>Rotina Fiscal/Contábil</v>
      </c>
      <c r="D46" s="16" t="str">
        <f>IF($L46="","",INDEX('Acomp. Equipe'!$E:$E,$L46))</f>
        <v>Conversor PDF para Excel de notas fiscais</v>
      </c>
      <c r="E46" s="16" t="str">
        <f>IF($L46="","",INDEX('Acomp. Equipe'!$I:$I,$L46))</f>
        <v>Cobrar validação da amostra</v>
      </c>
      <c r="F46" s="17">
        <f>IF($L46="","",INDEX('Acomp. Equipe'!$L:$L,$L46))</f>
        <v>46220</v>
      </c>
      <c r="G46" s="20">
        <f>IF($L46="","",INDEX('Acomp. Equipe'!$M:$M,$L46))</f>
        <v>0.85</v>
      </c>
      <c r="H46" s="16">
        <f>IF($L46="","",INDEX('Acomp. Equipe'!$N:$N,$L46))</f>
        <v>2</v>
      </c>
      <c r="L46" s="18">
        <f>IFERROR(_xlfn.AGGREGATE(15,6,ROW('Acomp. Equipe'!$C$3:$C$296)/((('Acomp. Equipe'!$F$3:$F$296="🟡 Em andamento")+('Acomp. Equipe'!$F$3:$F$296="⏸ Aguardando Terceiros")+('Acomp. Equipe'!$F$3:$F$296="⚪ Não iniciado"))),2),"")</f>
        <v>4</v>
      </c>
    </row>
    <row r="47" spans="1:12" x14ac:dyDescent="0.35">
      <c r="A47" s="16" t="str">
        <f>IF($L47="","",INDEX('Acomp. Equipe'!$A:$A,$L47))</f>
        <v>Filipe Messias</v>
      </c>
      <c r="B47" s="16" t="str">
        <f>IF($L47="","",INDEX('Acomp. Equipe'!$C:$C,$L47))</f>
        <v>FM-0005</v>
      </c>
      <c r="C47" s="16" t="str">
        <f>IF($L47="","",INDEX('Acomp. Equipe'!$D:$D,$L47))</f>
        <v>V360</v>
      </c>
      <c r="D47" s="16" t="str">
        <f>IF($L47="","",INDEX('Acomp. Equipe'!$E:$E,$L47))</f>
        <v>Conciliação de notas TicketLog × V360</v>
      </c>
      <c r="E47" s="16" t="str">
        <f>IF($L47="","",INDEX('Acomp. Equipe'!$I:$I,$L47))</f>
        <v>Colher feedback da ferramenta</v>
      </c>
      <c r="F47" s="17">
        <f>IF($L47="","",INDEX('Acomp. Equipe'!$L:$L,$L47))</f>
        <v>46220</v>
      </c>
      <c r="G47" s="20">
        <f>IF($L47="","",INDEX('Acomp. Equipe'!$M:$M,$L47))</f>
        <v>0.9</v>
      </c>
      <c r="H47" s="16">
        <f>IF($L47="","",INDEX('Acomp. Equipe'!$N:$N,$L47))</f>
        <v>1</v>
      </c>
      <c r="L47" s="18">
        <f>IFERROR(_xlfn.AGGREGATE(15,6,ROW('Acomp. Equipe'!$C$3:$C$296)/((('Acomp. Equipe'!$F$3:$F$296="🟡 Em andamento")+('Acomp. Equipe'!$F$3:$F$296="⏸ Aguardando Terceiros")+('Acomp. Equipe'!$F$3:$F$296="⚪ Não iniciado"))),3),"")</f>
        <v>5</v>
      </c>
    </row>
    <row r="48" spans="1:12" x14ac:dyDescent="0.35">
      <c r="A48" s="16" t="str">
        <f>IF($L48="","",INDEX('Acomp. Equipe'!$A:$A,$L48))</f>
        <v>Filipe Messias</v>
      </c>
      <c r="B48" s="16" t="str">
        <f>IF($L48="","",INDEX('Acomp. Equipe'!$C:$C,$L48))</f>
        <v>FM-0007</v>
      </c>
      <c r="C48" s="16" t="str">
        <f>IF($L48="","",INDEX('Acomp. Equipe'!$D:$D,$L48))</f>
        <v>Rotina Fiscal/Contábil</v>
      </c>
      <c r="D48" s="16" t="str">
        <f>IF($L48="","",INDEX('Acomp. Equipe'!$E:$E,$L48))</f>
        <v>Excel Cleaner ETL para arquivos PIS/COFINS</v>
      </c>
      <c r="E48" s="16" t="str">
        <f>IF($L48="","",INDEX('Acomp. Equipe'!$I:$I,$L48))</f>
        <v>Homologar no ambiente corporativo</v>
      </c>
      <c r="F48" s="17">
        <f>IF($L48="","",INDEX('Acomp. Equipe'!$L:$L,$L48))</f>
        <v>46227</v>
      </c>
      <c r="G48" s="20">
        <f>IF($L48="","",INDEX('Acomp. Equipe'!$M:$M,$L48))</f>
        <v>0.7</v>
      </c>
      <c r="H48" s="16">
        <f>IF($L48="","",INDEX('Acomp. Equipe'!$N:$N,$L48))</f>
        <v>1</v>
      </c>
      <c r="L48" s="18">
        <f>IFERROR(_xlfn.AGGREGATE(15,6,ROW('Acomp. Equipe'!$C$3:$C$296)/((('Acomp. Equipe'!$F$3:$F$296="🟡 Em andamento")+('Acomp. Equipe'!$F$3:$F$296="⏸ Aguardando Terceiros")+('Acomp. Equipe'!$F$3:$F$296="⚪ Não iniciado"))),4),"")</f>
        <v>6</v>
      </c>
    </row>
    <row r="49" spans="1:12" x14ac:dyDescent="0.35">
      <c r="A49" s="16" t="str">
        <f>IF($L49="","",INDEX('Acomp. Equipe'!$A:$A,$L49))</f>
        <v/>
      </c>
      <c r="B49" s="16" t="str">
        <f>IF($L49="","",INDEX('Acomp. Equipe'!$C:$C,$L49))</f>
        <v/>
      </c>
      <c r="C49" s="16" t="str">
        <f>IF($L49="","",INDEX('Acomp. Equipe'!$D:$D,$L49))</f>
        <v/>
      </c>
      <c r="D49" s="16" t="str">
        <f>IF($L49="","",INDEX('Acomp. Equipe'!$E:$E,$L49))</f>
        <v/>
      </c>
      <c r="E49" s="16" t="str">
        <f>IF($L49="","",INDEX('Acomp. Equipe'!$I:$I,$L49))</f>
        <v/>
      </c>
      <c r="F49" s="17" t="str">
        <f>IF($L49="","",INDEX('Acomp. Equipe'!$L:$L,$L49))</f>
        <v/>
      </c>
      <c r="G49" s="20" t="str">
        <f>IF($L49="","",INDEX('Acomp. Equipe'!$M:$M,$L49))</f>
        <v/>
      </c>
      <c r="H49" s="16" t="str">
        <f>IF($L49="","",INDEX('Acomp. Equipe'!$N:$N,$L49))</f>
        <v/>
      </c>
      <c r="L49" s="18" t="str">
        <f>IFERROR(_xlfn.AGGREGATE(15,6,ROW('Acomp. Equipe'!$C$3:$C$296)/((('Acomp. Equipe'!$F$3:$F$296="🟡 Em andamento")+('Acomp. Equipe'!$F$3:$F$296="⏸ Aguardando Terceiros")+('Acomp. Equipe'!$F$3:$F$296="⚪ Não iniciado"))),5),"")</f>
        <v/>
      </c>
    </row>
    <row r="50" spans="1:12" x14ac:dyDescent="0.35">
      <c r="A50" s="16" t="str">
        <f>IF($L50="","",INDEX('Acomp. Equipe'!$A:$A,$L50))</f>
        <v/>
      </c>
      <c r="B50" s="16" t="str">
        <f>IF($L50="","",INDEX('Acomp. Equipe'!$C:$C,$L50))</f>
        <v/>
      </c>
      <c r="C50" s="16" t="str">
        <f>IF($L50="","",INDEX('Acomp. Equipe'!$D:$D,$L50))</f>
        <v/>
      </c>
      <c r="D50" s="16" t="str">
        <f>IF($L50="","",INDEX('Acomp. Equipe'!$E:$E,$L50))</f>
        <v/>
      </c>
      <c r="E50" s="16" t="str">
        <f>IF($L50="","",INDEX('Acomp. Equipe'!$I:$I,$L50))</f>
        <v/>
      </c>
      <c r="F50" s="17" t="str">
        <f>IF($L50="","",INDEX('Acomp. Equipe'!$L:$L,$L50))</f>
        <v/>
      </c>
      <c r="G50" s="20" t="str">
        <f>IF($L50="","",INDEX('Acomp. Equipe'!$M:$M,$L50))</f>
        <v/>
      </c>
      <c r="H50" s="16" t="str">
        <f>IF($L50="","",INDEX('Acomp. Equipe'!$N:$N,$L50))</f>
        <v/>
      </c>
      <c r="L50" s="18" t="str">
        <f>IFERROR(_xlfn.AGGREGATE(15,6,ROW('Acomp. Equipe'!$C$3:$C$296)/((('Acomp. Equipe'!$F$3:$F$296="🟡 Em andamento")+('Acomp. Equipe'!$F$3:$F$296="⏸ Aguardando Terceiros")+('Acomp. Equipe'!$F$3:$F$296="⚪ Não iniciado"))),6),"")</f>
        <v/>
      </c>
    </row>
    <row r="51" spans="1:12" x14ac:dyDescent="0.35">
      <c r="A51" s="16" t="str">
        <f>IF($L51="","",INDEX('Acomp. Equipe'!$A:$A,$L51))</f>
        <v/>
      </c>
      <c r="B51" s="16" t="str">
        <f>IF($L51="","",INDEX('Acomp. Equipe'!$C:$C,$L51))</f>
        <v/>
      </c>
      <c r="C51" s="16" t="str">
        <f>IF($L51="","",INDEX('Acomp. Equipe'!$D:$D,$L51))</f>
        <v/>
      </c>
      <c r="D51" s="16" t="str">
        <f>IF($L51="","",INDEX('Acomp. Equipe'!$E:$E,$L51))</f>
        <v/>
      </c>
      <c r="E51" s="16" t="str">
        <f>IF($L51="","",INDEX('Acomp. Equipe'!$I:$I,$L51))</f>
        <v/>
      </c>
      <c r="F51" s="17" t="str">
        <f>IF($L51="","",INDEX('Acomp. Equipe'!$L:$L,$L51))</f>
        <v/>
      </c>
      <c r="G51" s="20" t="str">
        <f>IF($L51="","",INDEX('Acomp. Equipe'!$M:$M,$L51))</f>
        <v/>
      </c>
      <c r="H51" s="16" t="str">
        <f>IF($L51="","",INDEX('Acomp. Equipe'!$N:$N,$L51))</f>
        <v/>
      </c>
      <c r="L51" s="18" t="str">
        <f>IFERROR(_xlfn.AGGREGATE(15,6,ROW('Acomp. Equipe'!$C$3:$C$296)/((('Acomp. Equipe'!$F$3:$F$296="🟡 Em andamento")+('Acomp. Equipe'!$F$3:$F$296="⏸ Aguardando Terceiros")+('Acomp. Equipe'!$F$3:$F$296="⚪ Não iniciado"))),7),"")</f>
        <v/>
      </c>
    </row>
    <row r="52" spans="1:12" x14ac:dyDescent="0.35">
      <c r="A52" s="16" t="str">
        <f>IF($L52="","",INDEX('Acomp. Equipe'!$A:$A,$L52))</f>
        <v/>
      </c>
      <c r="B52" s="16" t="str">
        <f>IF($L52="","",INDEX('Acomp. Equipe'!$C:$C,$L52))</f>
        <v/>
      </c>
      <c r="C52" s="16" t="str">
        <f>IF($L52="","",INDEX('Acomp. Equipe'!$D:$D,$L52))</f>
        <v/>
      </c>
      <c r="D52" s="16" t="str">
        <f>IF($L52="","",INDEX('Acomp. Equipe'!$E:$E,$L52))</f>
        <v/>
      </c>
      <c r="E52" s="16" t="str">
        <f>IF($L52="","",INDEX('Acomp. Equipe'!$I:$I,$L52))</f>
        <v/>
      </c>
      <c r="F52" s="17" t="str">
        <f>IF($L52="","",INDEX('Acomp. Equipe'!$L:$L,$L52))</f>
        <v/>
      </c>
      <c r="G52" s="20" t="str">
        <f>IF($L52="","",INDEX('Acomp. Equipe'!$M:$M,$L52))</f>
        <v/>
      </c>
      <c r="H52" s="16" t="str">
        <f>IF($L52="","",INDEX('Acomp. Equipe'!$N:$N,$L52))</f>
        <v/>
      </c>
      <c r="L52" s="18" t="str">
        <f>IFERROR(_xlfn.AGGREGATE(15,6,ROW('Acomp. Equipe'!$C$3:$C$296)/((('Acomp. Equipe'!$F$3:$F$296="🟡 Em andamento")+('Acomp. Equipe'!$F$3:$F$296="⏸ Aguardando Terceiros")+('Acomp. Equipe'!$F$3:$F$296="⚪ Não iniciado"))),8),"")</f>
        <v/>
      </c>
    </row>
    <row r="53" spans="1:12" x14ac:dyDescent="0.35">
      <c r="A53" s="16" t="str">
        <f>IF($L53="","",INDEX('Acomp. Equipe'!$A:$A,$L53))</f>
        <v/>
      </c>
      <c r="B53" s="16" t="str">
        <f>IF($L53="","",INDEX('Acomp. Equipe'!$C:$C,$L53))</f>
        <v/>
      </c>
      <c r="C53" s="16" t="str">
        <f>IF($L53="","",INDEX('Acomp. Equipe'!$D:$D,$L53))</f>
        <v/>
      </c>
      <c r="D53" s="16" t="str">
        <f>IF($L53="","",INDEX('Acomp. Equipe'!$E:$E,$L53))</f>
        <v/>
      </c>
      <c r="E53" s="16" t="str">
        <f>IF($L53="","",INDEX('Acomp. Equipe'!$I:$I,$L53))</f>
        <v/>
      </c>
      <c r="F53" s="17" t="str">
        <f>IF($L53="","",INDEX('Acomp. Equipe'!$L:$L,$L53))</f>
        <v/>
      </c>
      <c r="G53" s="20" t="str">
        <f>IF($L53="","",INDEX('Acomp. Equipe'!$M:$M,$L53))</f>
        <v/>
      </c>
      <c r="H53" s="16" t="str">
        <f>IF($L53="","",INDEX('Acomp. Equipe'!$N:$N,$L53))</f>
        <v/>
      </c>
      <c r="L53" s="18" t="str">
        <f>IFERROR(_xlfn.AGGREGATE(15,6,ROW('Acomp. Equipe'!$C$3:$C$296)/((('Acomp. Equipe'!$F$3:$F$296="🟡 Em andamento")+('Acomp. Equipe'!$F$3:$F$296="⏸ Aguardando Terceiros")+('Acomp. Equipe'!$F$3:$F$296="⚪ Não iniciado"))),9),"")</f>
        <v/>
      </c>
    </row>
    <row r="54" spans="1:12" x14ac:dyDescent="0.35">
      <c r="A54" s="16" t="str">
        <f>IF($L54="","",INDEX('Acomp. Equipe'!$A:$A,$L54))</f>
        <v/>
      </c>
      <c r="B54" s="16" t="str">
        <f>IF($L54="","",INDEX('Acomp. Equipe'!$C:$C,$L54))</f>
        <v/>
      </c>
      <c r="C54" s="16" t="str">
        <f>IF($L54="","",INDEX('Acomp. Equipe'!$D:$D,$L54))</f>
        <v/>
      </c>
      <c r="D54" s="16" t="str">
        <f>IF($L54="","",INDEX('Acomp. Equipe'!$E:$E,$L54))</f>
        <v/>
      </c>
      <c r="E54" s="16" t="str">
        <f>IF($L54="","",INDEX('Acomp. Equipe'!$I:$I,$L54))</f>
        <v/>
      </c>
      <c r="F54" s="17" t="str">
        <f>IF($L54="","",INDEX('Acomp. Equipe'!$L:$L,$L54))</f>
        <v/>
      </c>
      <c r="G54" s="20" t="str">
        <f>IF($L54="","",INDEX('Acomp. Equipe'!$M:$M,$L54))</f>
        <v/>
      </c>
      <c r="H54" s="16" t="str">
        <f>IF($L54="","",INDEX('Acomp. Equipe'!$N:$N,$L54))</f>
        <v/>
      </c>
      <c r="L54" s="18" t="str">
        <f>IFERROR(_xlfn.AGGREGATE(15,6,ROW('Acomp. Equipe'!$C$3:$C$296)/((('Acomp. Equipe'!$F$3:$F$296="🟡 Em andamento")+('Acomp. Equipe'!$F$3:$F$296="⏸ Aguardando Terceiros")+('Acomp. Equipe'!$F$3:$F$296="⚪ Não iniciado"))),10),"")</f>
        <v/>
      </c>
    </row>
    <row r="55" spans="1:12" x14ac:dyDescent="0.35">
      <c r="A55" s="16" t="str">
        <f>IF($L55="","",INDEX('Acomp. Equipe'!$A:$A,$L55))</f>
        <v/>
      </c>
      <c r="B55" s="16" t="str">
        <f>IF($L55="","",INDEX('Acomp. Equipe'!$C:$C,$L55))</f>
        <v/>
      </c>
      <c r="C55" s="16" t="str">
        <f>IF($L55="","",INDEX('Acomp. Equipe'!$D:$D,$L55))</f>
        <v/>
      </c>
      <c r="D55" s="16" t="str">
        <f>IF($L55="","",INDEX('Acomp. Equipe'!$E:$E,$L55))</f>
        <v/>
      </c>
      <c r="E55" s="16" t="str">
        <f>IF($L55="","",INDEX('Acomp. Equipe'!$I:$I,$L55))</f>
        <v/>
      </c>
      <c r="F55" s="17" t="str">
        <f>IF($L55="","",INDEX('Acomp. Equipe'!$L:$L,$L55))</f>
        <v/>
      </c>
      <c r="G55" s="20" t="str">
        <f>IF($L55="","",INDEX('Acomp. Equipe'!$M:$M,$L55))</f>
        <v/>
      </c>
      <c r="H55" s="16" t="str">
        <f>IF($L55="","",INDEX('Acomp. Equipe'!$N:$N,$L55))</f>
        <v/>
      </c>
      <c r="L55" s="18" t="str">
        <f>IFERROR(_xlfn.AGGREGATE(15,6,ROW('Acomp. Equipe'!$C$3:$C$296)/((('Acomp. Equipe'!$F$3:$F$296="🟡 Em andamento")+('Acomp. Equipe'!$F$3:$F$296="⏸ Aguardando Terceiros")+('Acomp. Equipe'!$F$3:$F$296="⚪ Não iniciado"))),11),"")</f>
        <v/>
      </c>
    </row>
    <row r="56" spans="1:12" x14ac:dyDescent="0.35">
      <c r="A56" s="16" t="str">
        <f>IF($L56="","",INDEX('Acomp. Equipe'!$A:$A,$L56))</f>
        <v/>
      </c>
      <c r="B56" s="16" t="str">
        <f>IF($L56="","",INDEX('Acomp. Equipe'!$C:$C,$L56))</f>
        <v/>
      </c>
      <c r="C56" s="16" t="str">
        <f>IF($L56="","",INDEX('Acomp. Equipe'!$D:$D,$L56))</f>
        <v/>
      </c>
      <c r="D56" s="16" t="str">
        <f>IF($L56="","",INDEX('Acomp. Equipe'!$E:$E,$L56))</f>
        <v/>
      </c>
      <c r="E56" s="16" t="str">
        <f>IF($L56="","",INDEX('Acomp. Equipe'!$I:$I,$L56))</f>
        <v/>
      </c>
      <c r="F56" s="17" t="str">
        <f>IF($L56="","",INDEX('Acomp. Equipe'!$L:$L,$L56))</f>
        <v/>
      </c>
      <c r="G56" s="20" t="str">
        <f>IF($L56="","",INDEX('Acomp. Equipe'!$M:$M,$L56))</f>
        <v/>
      </c>
      <c r="H56" s="16" t="str">
        <f>IF($L56="","",INDEX('Acomp. Equipe'!$N:$N,$L56))</f>
        <v/>
      </c>
      <c r="L56" s="18" t="str">
        <f>IFERROR(_xlfn.AGGREGATE(15,6,ROW('Acomp. Equipe'!$C$3:$C$296)/((('Acomp. Equipe'!$F$3:$F$296="🟡 Em andamento")+('Acomp. Equipe'!$F$3:$F$296="⏸ Aguardando Terceiros")+('Acomp. Equipe'!$F$3:$F$296="⚪ Não iniciado"))),12),"")</f>
        <v/>
      </c>
    </row>
    <row r="58" spans="1:12" ht="19.5" customHeight="1" x14ac:dyDescent="0.35">
      <c r="A58" s="32" t="s">
        <v>263</v>
      </c>
      <c r="B58" s="32"/>
      <c r="C58" s="32"/>
      <c r="D58" s="32"/>
      <c r="E58" s="32"/>
      <c r="F58" s="32"/>
      <c r="G58" s="32"/>
      <c r="H58" s="32"/>
      <c r="I58" s="32"/>
    </row>
    <row r="59" spans="1:12" x14ac:dyDescent="0.35">
      <c r="A59" s="1" t="s">
        <v>27</v>
      </c>
      <c r="B59" s="1" t="s">
        <v>207</v>
      </c>
      <c r="C59" s="1" t="s">
        <v>208</v>
      </c>
      <c r="D59" s="1" t="s">
        <v>209</v>
      </c>
      <c r="E59" s="1" t="s">
        <v>264</v>
      </c>
      <c r="F59" s="1" t="s">
        <v>256</v>
      </c>
      <c r="G59" s="1" t="s">
        <v>257</v>
      </c>
      <c r="H59" s="1" t="s">
        <v>265</v>
      </c>
    </row>
    <row r="60" spans="1:12" x14ac:dyDescent="0.35">
      <c r="A60" s="16" t="str">
        <f>IF($L60="","",INDEX('Acomp. Equipe'!$A:$A,$L60))</f>
        <v>Filipe Messias</v>
      </c>
      <c r="B60" s="16" t="str">
        <f>IF($L60="","",INDEX('Acomp. Equipe'!$B:$B,$L60))</f>
        <v>Semana 27</v>
      </c>
      <c r="C60" s="16" t="str">
        <f>IF($L60="","",INDEX('Acomp. Equipe'!$C:$C,$L60))</f>
        <v>FM-0006</v>
      </c>
      <c r="D60" s="16" t="str">
        <f>IF($L60="","",INDEX('Acomp. Equipe'!$E:$E,$L60))</f>
        <v>Conversor PDF para Excel de notas fiscais</v>
      </c>
      <c r="E60" s="16" t="str">
        <f>IF($L60="","",INDEX('Acomp. Equipe'!$H:$H,$L60))</f>
        <v>Conversões de teste com 12 PDFs concluídas</v>
      </c>
      <c r="F60" s="17">
        <f>IF($L60="","",INDEX('Acomp. Equipe'!$L:$L,$L60))</f>
        <v>46213</v>
      </c>
      <c r="G60" s="16">
        <f>IF($L60="","",INDEX('Acomp. Equipe'!$N:$N,$L60))</f>
        <v>2</v>
      </c>
      <c r="H60" s="19"/>
      <c r="L60" s="18">
        <f>IFERROR(_xlfn.AGGREGATE(15,6,ROW('Acomp. Equipe'!$C$3:$C$296)/(('Acomp. Equipe'!$N$3:$N$296&gt;=2)*('Acomp. Equipe'!$F$3:$F$296&lt;&gt;"🟢 Concluído")*('Acomp. Equipe'!$C$3:$C$296&lt;&gt;"")),1),"")</f>
        <v>3</v>
      </c>
    </row>
    <row r="61" spans="1:12" x14ac:dyDescent="0.35">
      <c r="A61" s="16" t="str">
        <f>IF($L61="","",INDEX('Acomp. Equipe'!$A:$A,$L61))</f>
        <v>Filipe Messias</v>
      </c>
      <c r="B61" s="16" t="str">
        <f>IF($L61="","",INDEX('Acomp. Equipe'!$B:$B,$L61))</f>
        <v>Semana 28</v>
      </c>
      <c r="C61" s="16" t="str">
        <f>IF($L61="","",INDEX('Acomp. Equipe'!$C:$C,$L61))</f>
        <v>FM-0006</v>
      </c>
      <c r="D61" s="16" t="str">
        <f>IF($L61="","",INDEX('Acomp. Equipe'!$E:$E,$L61))</f>
        <v>Conversor PDF para Excel de notas fiscais</v>
      </c>
      <c r="E61" s="16" t="str">
        <f>IF($L61="","",INDEX('Acomp. Equipe'!$H:$H,$L61))</f>
        <v>Amostra enviada; sem retorno do Recebimento Fiscal</v>
      </c>
      <c r="F61" s="17">
        <f>IF($L61="","",INDEX('Acomp. Equipe'!$L:$L,$L61))</f>
        <v>46220</v>
      </c>
      <c r="G61" s="16">
        <f>IF($L61="","",INDEX('Acomp. Equipe'!$N:$N,$L61))</f>
        <v>2</v>
      </c>
      <c r="H61" s="19"/>
      <c r="L61" s="18">
        <f>IFERROR(_xlfn.AGGREGATE(15,6,ROW('Acomp. Equipe'!$C$3:$C$296)/(('Acomp. Equipe'!$N$3:$N$296&gt;=2)*('Acomp. Equipe'!$F$3:$F$296&lt;&gt;"🟢 Concluído")*('Acomp. Equipe'!$C$3:$C$296&lt;&gt;"")),2),"")</f>
        <v>4</v>
      </c>
    </row>
    <row r="62" spans="1:12" x14ac:dyDescent="0.35">
      <c r="A62" s="16" t="str">
        <f>IF($L62="","",INDEX('Acomp. Equipe'!$A:$A,$L62))</f>
        <v/>
      </c>
      <c r="B62" s="16" t="str">
        <f>IF($L62="","",INDEX('Acomp. Equipe'!$B:$B,$L62))</f>
        <v/>
      </c>
      <c r="C62" s="16" t="str">
        <f>IF($L62="","",INDEX('Acomp. Equipe'!$C:$C,$L62))</f>
        <v/>
      </c>
      <c r="D62" s="16" t="str">
        <f>IF($L62="","",INDEX('Acomp. Equipe'!$E:$E,$L62))</f>
        <v/>
      </c>
      <c r="E62" s="16" t="str">
        <f>IF($L62="","",INDEX('Acomp. Equipe'!$H:$H,$L62))</f>
        <v/>
      </c>
      <c r="F62" s="17" t="str">
        <f>IF($L62="","",INDEX('Acomp. Equipe'!$L:$L,$L62))</f>
        <v/>
      </c>
      <c r="G62" s="16" t="str">
        <f>IF($L62="","",INDEX('Acomp. Equipe'!$N:$N,$L62))</f>
        <v/>
      </c>
      <c r="H62" s="19"/>
      <c r="L62" s="18" t="str">
        <f>IFERROR(_xlfn.AGGREGATE(15,6,ROW('Acomp. Equipe'!$C$3:$C$296)/(('Acomp. Equipe'!$N$3:$N$296&gt;=2)*('Acomp. Equipe'!$F$3:$F$296&lt;&gt;"🟢 Concluído")*('Acomp. Equipe'!$C$3:$C$296&lt;&gt;"")),3),"")</f>
        <v/>
      </c>
    </row>
    <row r="63" spans="1:12" x14ac:dyDescent="0.35">
      <c r="A63" s="16" t="str">
        <f>IF($L63="","",INDEX('Acomp. Equipe'!$A:$A,$L63))</f>
        <v/>
      </c>
      <c r="B63" s="16" t="str">
        <f>IF($L63="","",INDEX('Acomp. Equipe'!$B:$B,$L63))</f>
        <v/>
      </c>
      <c r="C63" s="16" t="str">
        <f>IF($L63="","",INDEX('Acomp. Equipe'!$C:$C,$L63))</f>
        <v/>
      </c>
      <c r="D63" s="16" t="str">
        <f>IF($L63="","",INDEX('Acomp. Equipe'!$E:$E,$L63))</f>
        <v/>
      </c>
      <c r="E63" s="16" t="str">
        <f>IF($L63="","",INDEX('Acomp. Equipe'!$H:$H,$L63))</f>
        <v/>
      </c>
      <c r="F63" s="17" t="str">
        <f>IF($L63="","",INDEX('Acomp. Equipe'!$L:$L,$L63))</f>
        <v/>
      </c>
      <c r="G63" s="16" t="str">
        <f>IF($L63="","",INDEX('Acomp. Equipe'!$N:$N,$L63))</f>
        <v/>
      </c>
      <c r="H63" s="19"/>
      <c r="L63" s="18" t="str">
        <f>IFERROR(_xlfn.AGGREGATE(15,6,ROW('Acomp. Equipe'!$C$3:$C$296)/(('Acomp. Equipe'!$N$3:$N$296&gt;=2)*('Acomp. Equipe'!$F$3:$F$296&lt;&gt;"🟢 Concluído")*('Acomp. Equipe'!$C$3:$C$296&lt;&gt;"")),4),"")</f>
        <v/>
      </c>
    </row>
    <row r="64" spans="1:12" x14ac:dyDescent="0.35">
      <c r="A64" s="16" t="str">
        <f>IF($L64="","",INDEX('Acomp. Equipe'!$A:$A,$L64))</f>
        <v/>
      </c>
      <c r="B64" s="16" t="str">
        <f>IF($L64="","",INDEX('Acomp. Equipe'!$B:$B,$L64))</f>
        <v/>
      </c>
      <c r="C64" s="16" t="str">
        <f>IF($L64="","",INDEX('Acomp. Equipe'!$C:$C,$L64))</f>
        <v/>
      </c>
      <c r="D64" s="16" t="str">
        <f>IF($L64="","",INDEX('Acomp. Equipe'!$E:$E,$L64))</f>
        <v/>
      </c>
      <c r="E64" s="16" t="str">
        <f>IF($L64="","",INDEX('Acomp. Equipe'!$H:$H,$L64))</f>
        <v/>
      </c>
      <c r="F64" s="17" t="str">
        <f>IF($L64="","",INDEX('Acomp. Equipe'!$L:$L,$L64))</f>
        <v/>
      </c>
      <c r="G64" s="16" t="str">
        <f>IF($L64="","",INDEX('Acomp. Equipe'!$N:$N,$L64))</f>
        <v/>
      </c>
      <c r="H64" s="19"/>
      <c r="L64" s="18" t="str">
        <f>IFERROR(_xlfn.AGGREGATE(15,6,ROW('Acomp. Equipe'!$C$3:$C$296)/(('Acomp. Equipe'!$N$3:$N$296&gt;=2)*('Acomp. Equipe'!$F$3:$F$296&lt;&gt;"🟢 Concluído")*('Acomp. Equipe'!$C$3:$C$296&lt;&gt;"")),5),"")</f>
        <v/>
      </c>
    </row>
    <row r="65" spans="1:12" x14ac:dyDescent="0.35">
      <c r="A65" s="16" t="str">
        <f>IF($L65="","",INDEX('Acomp. Equipe'!$A:$A,$L65))</f>
        <v/>
      </c>
      <c r="B65" s="16" t="str">
        <f>IF($L65="","",INDEX('Acomp. Equipe'!$B:$B,$L65))</f>
        <v/>
      </c>
      <c r="C65" s="16" t="str">
        <f>IF($L65="","",INDEX('Acomp. Equipe'!$C:$C,$L65))</f>
        <v/>
      </c>
      <c r="D65" s="16" t="str">
        <f>IF($L65="","",INDEX('Acomp. Equipe'!$E:$E,$L65))</f>
        <v/>
      </c>
      <c r="E65" s="16" t="str">
        <f>IF($L65="","",INDEX('Acomp. Equipe'!$H:$H,$L65))</f>
        <v/>
      </c>
      <c r="F65" s="17" t="str">
        <f>IF($L65="","",INDEX('Acomp. Equipe'!$L:$L,$L65))</f>
        <v/>
      </c>
      <c r="G65" s="16" t="str">
        <f>IF($L65="","",INDEX('Acomp. Equipe'!$N:$N,$L65))</f>
        <v/>
      </c>
      <c r="H65" s="19"/>
      <c r="L65" s="18" t="str">
        <f>IFERROR(_xlfn.AGGREGATE(15,6,ROW('Acomp. Equipe'!$C$3:$C$296)/(('Acomp. Equipe'!$N$3:$N$296&gt;=2)*('Acomp. Equipe'!$F$3:$F$296&lt;&gt;"🟢 Concluído")*('Acomp. Equipe'!$C$3:$C$296&lt;&gt;"")),6),"")</f>
        <v/>
      </c>
    </row>
    <row r="66" spans="1:12" x14ac:dyDescent="0.35">
      <c r="A66" s="16" t="str">
        <f>IF($L66="","",INDEX('Acomp. Equipe'!$A:$A,$L66))</f>
        <v/>
      </c>
      <c r="B66" s="16" t="str">
        <f>IF($L66="","",INDEX('Acomp. Equipe'!$B:$B,$L66))</f>
        <v/>
      </c>
      <c r="C66" s="16" t="str">
        <f>IF($L66="","",INDEX('Acomp. Equipe'!$C:$C,$L66))</f>
        <v/>
      </c>
      <c r="D66" s="16" t="str">
        <f>IF($L66="","",INDEX('Acomp. Equipe'!$E:$E,$L66))</f>
        <v/>
      </c>
      <c r="E66" s="16" t="str">
        <f>IF($L66="","",INDEX('Acomp. Equipe'!$H:$H,$L66))</f>
        <v/>
      </c>
      <c r="F66" s="17" t="str">
        <f>IF($L66="","",INDEX('Acomp. Equipe'!$L:$L,$L66))</f>
        <v/>
      </c>
      <c r="G66" s="16" t="str">
        <f>IF($L66="","",INDEX('Acomp. Equipe'!$N:$N,$L66))</f>
        <v/>
      </c>
      <c r="H66" s="19"/>
      <c r="L66" s="18" t="str">
        <f>IFERROR(_xlfn.AGGREGATE(15,6,ROW('Acomp. Equipe'!$C$3:$C$296)/(('Acomp. Equipe'!$N$3:$N$296&gt;=2)*('Acomp. Equipe'!$F$3:$F$296&lt;&gt;"🟢 Concluído")*('Acomp. Equipe'!$C$3:$C$296&lt;&gt;"")),7),"")</f>
        <v/>
      </c>
    </row>
    <row r="67" spans="1:12" x14ac:dyDescent="0.35">
      <c r="A67" s="16" t="str">
        <f>IF($L67="","",INDEX('Acomp. Equipe'!$A:$A,$L67))</f>
        <v/>
      </c>
      <c r="B67" s="16" t="str">
        <f>IF($L67="","",INDEX('Acomp. Equipe'!$B:$B,$L67))</f>
        <v/>
      </c>
      <c r="C67" s="16" t="str">
        <f>IF($L67="","",INDEX('Acomp. Equipe'!$C:$C,$L67))</f>
        <v/>
      </c>
      <c r="D67" s="16" t="str">
        <f>IF($L67="","",INDEX('Acomp. Equipe'!$E:$E,$L67))</f>
        <v/>
      </c>
      <c r="E67" s="16" t="str">
        <f>IF($L67="","",INDEX('Acomp. Equipe'!$H:$H,$L67))</f>
        <v/>
      </c>
      <c r="F67" s="17" t="str">
        <f>IF($L67="","",INDEX('Acomp. Equipe'!$L:$L,$L67))</f>
        <v/>
      </c>
      <c r="G67" s="16" t="str">
        <f>IF($L67="","",INDEX('Acomp. Equipe'!$N:$N,$L67))</f>
        <v/>
      </c>
      <c r="H67" s="19"/>
      <c r="L67" s="18" t="str">
        <f>IFERROR(_xlfn.AGGREGATE(15,6,ROW('Acomp. Equipe'!$C$3:$C$296)/(('Acomp. Equipe'!$N$3:$N$296&gt;=2)*('Acomp. Equipe'!$F$3:$F$296&lt;&gt;"🟢 Concluído")*('Acomp. Equipe'!$C$3:$C$296&lt;&gt;"")),8),"")</f>
        <v/>
      </c>
    </row>
    <row r="68" spans="1:12" x14ac:dyDescent="0.35">
      <c r="A68" s="16" t="str">
        <f>IF($L68="","",INDEX('Acomp. Equipe'!$A:$A,$L68))</f>
        <v/>
      </c>
      <c r="B68" s="16" t="str">
        <f>IF($L68="","",INDEX('Acomp. Equipe'!$B:$B,$L68))</f>
        <v/>
      </c>
      <c r="C68" s="16" t="str">
        <f>IF($L68="","",INDEX('Acomp. Equipe'!$C:$C,$L68))</f>
        <v/>
      </c>
      <c r="D68" s="16" t="str">
        <f>IF($L68="","",INDEX('Acomp. Equipe'!$E:$E,$L68))</f>
        <v/>
      </c>
      <c r="E68" s="16" t="str">
        <f>IF($L68="","",INDEX('Acomp. Equipe'!$H:$H,$L68))</f>
        <v/>
      </c>
      <c r="F68" s="17" t="str">
        <f>IF($L68="","",INDEX('Acomp. Equipe'!$L:$L,$L68))</f>
        <v/>
      </c>
      <c r="G68" s="16" t="str">
        <f>IF($L68="","",INDEX('Acomp. Equipe'!$N:$N,$L68))</f>
        <v/>
      </c>
      <c r="H68" s="19"/>
      <c r="L68" s="18" t="str">
        <f>IFERROR(_xlfn.AGGREGATE(15,6,ROW('Acomp. Equipe'!$C$3:$C$296)/(('Acomp. Equipe'!$N$3:$N$296&gt;=2)*('Acomp. Equipe'!$F$3:$F$296&lt;&gt;"🟢 Concluído")*('Acomp. Equipe'!$C$3:$C$296&lt;&gt;"")),9),"")</f>
        <v/>
      </c>
    </row>
    <row r="69" spans="1:12" x14ac:dyDescent="0.35">
      <c r="A69" s="16" t="str">
        <f>IF($L69="","",INDEX('Acomp. Equipe'!$A:$A,$L69))</f>
        <v/>
      </c>
      <c r="B69" s="16" t="str">
        <f>IF($L69="","",INDEX('Acomp. Equipe'!$B:$B,$L69))</f>
        <v/>
      </c>
      <c r="C69" s="16" t="str">
        <f>IF($L69="","",INDEX('Acomp. Equipe'!$C:$C,$L69))</f>
        <v/>
      </c>
      <c r="D69" s="16" t="str">
        <f>IF($L69="","",INDEX('Acomp. Equipe'!$E:$E,$L69))</f>
        <v/>
      </c>
      <c r="E69" s="16" t="str">
        <f>IF($L69="","",INDEX('Acomp. Equipe'!$H:$H,$L69))</f>
        <v/>
      </c>
      <c r="F69" s="17" t="str">
        <f>IF($L69="","",INDEX('Acomp. Equipe'!$L:$L,$L69))</f>
        <v/>
      </c>
      <c r="G69" s="16" t="str">
        <f>IF($L69="","",INDEX('Acomp. Equipe'!$N:$N,$L69))</f>
        <v/>
      </c>
      <c r="H69" s="19"/>
      <c r="L69" s="18" t="str">
        <f>IFERROR(_xlfn.AGGREGATE(15,6,ROW('Acomp. Equipe'!$C$3:$C$296)/(('Acomp. Equipe'!$N$3:$N$296&gt;=2)*('Acomp. Equipe'!$F$3:$F$296&lt;&gt;"🟢 Concluído")*('Acomp. Equipe'!$C$3:$C$296&lt;&gt;"")),10),"")</f>
        <v/>
      </c>
    </row>
    <row r="70" spans="1:12" x14ac:dyDescent="0.35">
      <c r="A70" s="16" t="str">
        <f>IF($L70="","",INDEX('Acomp. Equipe'!$A:$A,$L70))</f>
        <v/>
      </c>
      <c r="B70" s="16" t="str">
        <f>IF($L70="","",INDEX('Acomp. Equipe'!$B:$B,$L70))</f>
        <v/>
      </c>
      <c r="C70" s="16" t="str">
        <f>IF($L70="","",INDEX('Acomp. Equipe'!$C:$C,$L70))</f>
        <v/>
      </c>
      <c r="D70" s="16" t="str">
        <f>IF($L70="","",INDEX('Acomp. Equipe'!$E:$E,$L70))</f>
        <v/>
      </c>
      <c r="E70" s="16" t="str">
        <f>IF($L70="","",INDEX('Acomp. Equipe'!$H:$H,$L70))</f>
        <v/>
      </c>
      <c r="F70" s="17" t="str">
        <f>IF($L70="","",INDEX('Acomp. Equipe'!$L:$L,$L70))</f>
        <v/>
      </c>
      <c r="G70" s="16" t="str">
        <f>IF($L70="","",INDEX('Acomp. Equipe'!$N:$N,$L70))</f>
        <v/>
      </c>
      <c r="H70" s="19"/>
      <c r="L70" s="18" t="str">
        <f>IFERROR(_xlfn.AGGREGATE(15,6,ROW('Acomp. Equipe'!$C$3:$C$296)/(('Acomp. Equipe'!$N$3:$N$296&gt;=2)*('Acomp. Equipe'!$F$3:$F$296&lt;&gt;"🟢 Concluído")*('Acomp. Equipe'!$C$3:$C$296&lt;&gt;"")),11),"")</f>
        <v/>
      </c>
    </row>
    <row r="71" spans="1:12" x14ac:dyDescent="0.35">
      <c r="A71" s="16" t="str">
        <f>IF($L71="","",INDEX('Acomp. Equipe'!$A:$A,$L71))</f>
        <v/>
      </c>
      <c r="B71" s="16" t="str">
        <f>IF($L71="","",INDEX('Acomp. Equipe'!$B:$B,$L71))</f>
        <v/>
      </c>
      <c r="C71" s="16" t="str">
        <f>IF($L71="","",INDEX('Acomp. Equipe'!$C:$C,$L71))</f>
        <v/>
      </c>
      <c r="D71" s="16" t="str">
        <f>IF($L71="","",INDEX('Acomp. Equipe'!$E:$E,$L71))</f>
        <v/>
      </c>
      <c r="E71" s="16" t="str">
        <f>IF($L71="","",INDEX('Acomp. Equipe'!$H:$H,$L71))</f>
        <v/>
      </c>
      <c r="F71" s="17" t="str">
        <f>IF($L71="","",INDEX('Acomp. Equipe'!$L:$L,$L71))</f>
        <v/>
      </c>
      <c r="G71" s="16" t="str">
        <f>IF($L71="","",INDEX('Acomp. Equipe'!$N:$N,$L71))</f>
        <v/>
      </c>
      <c r="H71" s="19"/>
      <c r="L71" s="18" t="str">
        <f>IFERROR(_xlfn.AGGREGATE(15,6,ROW('Acomp. Equipe'!$C$3:$C$296)/(('Acomp. Equipe'!$N$3:$N$296&gt;=2)*('Acomp. Equipe'!$F$3:$F$296&lt;&gt;"🟢 Concluído")*('Acomp. Equipe'!$C$3:$C$296&lt;&gt;"")),12),"")</f>
        <v/>
      </c>
    </row>
    <row r="73" spans="1:12" ht="19.5" customHeight="1" x14ac:dyDescent="0.35">
      <c r="A73" s="32" t="s">
        <v>266</v>
      </c>
      <c r="B73" s="32"/>
      <c r="C73" s="32"/>
      <c r="D73" s="32"/>
      <c r="E73" s="32"/>
      <c r="F73" s="32"/>
      <c r="G73" s="32"/>
      <c r="H73" s="32"/>
      <c r="I73" s="32"/>
    </row>
    <row r="74" spans="1:12" x14ac:dyDescent="0.35">
      <c r="A74" s="38" t="s">
        <v>267</v>
      </c>
      <c r="B74" s="38"/>
      <c r="C74" s="38"/>
      <c r="D74" s="38"/>
      <c r="E74" s="15">
        <f>SUMIFS('Base Gerencial'!$W$2:$W$2000,'Base Gerencial'!$S$2:$S$2000,"Concluído",'Base Gerencial'!$D$2:$D$2000,"&gt;="&amp;$B$6,'Base Gerencial'!$D$2:$D$2000,"&lt;="&amp;$D$6,'Base Gerencial'!$O$2:$O$2000,"&lt;&gt;Apoio")</f>
        <v>131</v>
      </c>
    </row>
    <row r="75" spans="1:12" x14ac:dyDescent="0.35">
      <c r="A75" s="38" t="s">
        <v>268</v>
      </c>
      <c r="B75" s="38"/>
      <c r="C75" s="38"/>
      <c r="D75" s="38"/>
      <c r="E75" s="21">
        <f>SUMIFS('Base Gerencial'!$AH$2:$AH$2000,'Base Gerencial'!$S$2:$S$2000,"Concluído",'Base Gerencial'!$D$2:$D$2000,"&gt;="&amp;$B$6,'Base Gerencial'!$D$2:$D$2000,"&lt;="&amp;$D$6,'Base Gerencial'!$O$2:$O$2000,"&lt;&gt;Apoio")</f>
        <v>8500</v>
      </c>
    </row>
    <row r="76" spans="1:12" x14ac:dyDescent="0.35">
      <c r="A76" s="38" t="s">
        <v>269</v>
      </c>
      <c r="B76" s="38"/>
      <c r="C76" s="38"/>
      <c r="D76" s="38"/>
      <c r="E76" s="14">
        <f>COUNTIFS('Base Gerencial'!$I$2:$I$2000,"Automação",'Base Gerencial'!$S$2:$S$2000,"Concluído",'Base Gerencial'!$D$2:$D$2000,"&gt;="&amp;$B$6,'Base Gerencial'!$D$2:$D$2000,"&lt;="&amp;$D$6,'Base Gerencial'!$O$2:$O$2000,"&lt;&gt;Apoio")</f>
        <v>2</v>
      </c>
    </row>
    <row r="77" spans="1:12" x14ac:dyDescent="0.35">
      <c r="A77" s="38" t="s">
        <v>270</v>
      </c>
      <c r="B77" s="38"/>
      <c r="C77" s="38"/>
      <c r="D77" s="38"/>
      <c r="E77" s="14">
        <f>COUNTIFS('Base Gerencial'!$I$2:$I$2000,"Dashboard",'Base Gerencial'!$S$2:$S$2000,"Concluído",'Base Gerencial'!$D$2:$D$2000,"&gt;="&amp;$B$6,'Base Gerencial'!$D$2:$D$2000,"&lt;="&amp;$D$6,'Base Gerencial'!$O$2:$O$2000,"&lt;&gt;Apoio")</f>
        <v>0</v>
      </c>
    </row>
    <row r="78" spans="1:12" x14ac:dyDescent="0.35">
      <c r="A78" s="38" t="s">
        <v>271</v>
      </c>
      <c r="B78" s="38"/>
      <c r="C78" s="38"/>
      <c r="D78" s="38"/>
      <c r="E78" s="14">
        <f>COUNTIFS('Base Gerencial'!$I$2:$I$2000,"POP elaborado/atualizado",'Base Gerencial'!$S$2:$S$2000,"Concluído",'Base Gerencial'!$D$2:$D$2000,"&gt;="&amp;$B$6,'Base Gerencial'!$D$2:$D$2000,"&lt;="&amp;$D$6,'Base Gerencial'!$O$2:$O$2000,"&lt;&gt;Apoio")</f>
        <v>0</v>
      </c>
    </row>
    <row r="79" spans="1:12" x14ac:dyDescent="0.35">
      <c r="A79" s="38" t="s">
        <v>272</v>
      </c>
      <c r="B79" s="38"/>
      <c r="C79" s="38"/>
      <c r="D79" s="38"/>
      <c r="E79" s="14">
        <f>COUNTIFS('Base Gerencial'!$I$2:$I$2000,"Fluxograma (AS-IS/TO-BE)",'Base Gerencial'!$S$2:$S$2000,"Concluído",'Base Gerencial'!$D$2:$D$2000,"&gt;="&amp;$B$6,'Base Gerencial'!$D$2:$D$2000,"&lt;="&amp;$D$6,'Base Gerencial'!$O$2:$O$2000,"&lt;&gt;Apoio")</f>
        <v>0</v>
      </c>
    </row>
    <row r="80" spans="1:12" x14ac:dyDescent="0.35">
      <c r="A80" s="38" t="s">
        <v>273</v>
      </c>
      <c r="B80" s="38"/>
      <c r="C80" s="38"/>
      <c r="D80" s="38"/>
      <c r="E80" s="14">
        <f>COUNTIFS('Base Gerencial'!$I$2:$I$2000,"Agente de IA",'Base Gerencial'!$S$2:$S$2000,"Concluído",'Base Gerencial'!$D$2:$D$2000,"&gt;="&amp;$B$6,'Base Gerencial'!$D$2:$D$2000,"&lt;="&amp;$D$6,'Base Gerencial'!$O$2:$O$2000,"&lt;&gt;Apoio")</f>
        <v>0</v>
      </c>
    </row>
    <row r="81" spans="1:9" x14ac:dyDescent="0.35">
      <c r="A81" s="38" t="s">
        <v>274</v>
      </c>
      <c r="B81" s="38"/>
      <c r="C81" s="38"/>
      <c r="D81" s="38"/>
      <c r="E81" s="14">
        <f>COUNTIFS('Base Gerencial'!$H$2:$H$2000,"Melhoria Contínua",'Base Gerencial'!$S$2:$S$2000,"Concluído",'Base Gerencial'!$D$2:$D$2000,"&gt;="&amp;$B$6,'Base Gerencial'!$D$2:$D$2000,"&lt;="&amp;$D$6,'Base Gerencial'!$O$2:$O$2000,"&lt;&gt;Apoio")</f>
        <v>0</v>
      </c>
    </row>
    <row r="83" spans="1:9" ht="19.5" customHeight="1" x14ac:dyDescent="0.35">
      <c r="A83" s="32" t="s">
        <v>275</v>
      </c>
      <c r="B83" s="32"/>
      <c r="C83" s="32"/>
      <c r="D83" s="32"/>
      <c r="E83" s="32"/>
      <c r="F83" s="32"/>
      <c r="G83" s="32"/>
      <c r="H83" s="32"/>
      <c r="I83" s="32"/>
    </row>
    <row r="84" spans="1:9" x14ac:dyDescent="0.35">
      <c r="A84" s="1" t="s">
        <v>32</v>
      </c>
      <c r="B84" s="37" t="s">
        <v>276</v>
      </c>
      <c r="C84" s="37"/>
      <c r="D84" s="37"/>
      <c r="E84" s="1" t="s">
        <v>75</v>
      </c>
      <c r="F84" s="1" t="s">
        <v>277</v>
      </c>
    </row>
    <row r="85" spans="1:9" x14ac:dyDescent="0.35">
      <c r="A85" s="16"/>
      <c r="B85" s="36"/>
      <c r="C85" s="36"/>
      <c r="D85" s="36"/>
      <c r="E85" s="16"/>
      <c r="F85" s="17"/>
    </row>
    <row r="86" spans="1:9" x14ac:dyDescent="0.35">
      <c r="A86" s="16"/>
      <c r="B86" s="36"/>
      <c r="C86" s="36"/>
      <c r="D86" s="36"/>
      <c r="E86" s="16"/>
      <c r="F86" s="17"/>
    </row>
    <row r="87" spans="1:9" x14ac:dyDescent="0.35">
      <c r="A87" s="16"/>
      <c r="B87" s="36"/>
      <c r="C87" s="36"/>
      <c r="D87" s="36"/>
      <c r="E87" s="16"/>
      <c r="F87" s="17"/>
    </row>
    <row r="88" spans="1:9" x14ac:dyDescent="0.35">
      <c r="A88" s="16"/>
      <c r="B88" s="36"/>
      <c r="C88" s="36"/>
      <c r="D88" s="36"/>
      <c r="E88" s="16"/>
      <c r="F88" s="17"/>
    </row>
    <row r="89" spans="1:9" x14ac:dyDescent="0.35">
      <c r="A89" s="16"/>
      <c r="B89" s="36"/>
      <c r="C89" s="36"/>
      <c r="D89" s="36"/>
      <c r="E89" s="16"/>
      <c r="F89" s="17"/>
    </row>
    <row r="90" spans="1:9" x14ac:dyDescent="0.35">
      <c r="A90" s="16"/>
      <c r="B90" s="36"/>
      <c r="C90" s="36"/>
      <c r="D90" s="36"/>
      <c r="E90" s="16"/>
      <c r="F90" s="17"/>
    </row>
    <row r="91" spans="1:9" x14ac:dyDescent="0.35">
      <c r="A91" s="16"/>
      <c r="B91" s="36"/>
      <c r="C91" s="36"/>
      <c r="D91" s="36"/>
      <c r="E91" s="16"/>
      <c r="F91" s="17"/>
    </row>
    <row r="92" spans="1:9" x14ac:dyDescent="0.35">
      <c r="A92" s="16"/>
      <c r="B92" s="36"/>
      <c r="C92" s="36"/>
      <c r="D92" s="36"/>
      <c r="E92" s="16"/>
      <c r="F92" s="17"/>
    </row>
  </sheetData>
  <mergeCells count="39">
    <mergeCell ref="A1:I1"/>
    <mergeCell ref="A2:I2"/>
    <mergeCell ref="A4:I4"/>
    <mergeCell ref="B5:D5"/>
    <mergeCell ref="A8:I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1:I21"/>
    <mergeCell ref="A32:I32"/>
    <mergeCell ref="A43:I43"/>
    <mergeCell ref="A58:I58"/>
    <mergeCell ref="A73:I73"/>
    <mergeCell ref="A74:D74"/>
    <mergeCell ref="A75:D75"/>
    <mergeCell ref="A76:D76"/>
    <mergeCell ref="A77:D77"/>
    <mergeCell ref="A78:D78"/>
    <mergeCell ref="A79:D79"/>
    <mergeCell ref="A80:D80"/>
    <mergeCell ref="A81:D81"/>
    <mergeCell ref="A83:I83"/>
    <mergeCell ref="B89:D89"/>
    <mergeCell ref="B90:D90"/>
    <mergeCell ref="B91:D91"/>
    <mergeCell ref="B92:D92"/>
    <mergeCell ref="B84:D84"/>
    <mergeCell ref="B85:D85"/>
    <mergeCell ref="B86:D86"/>
    <mergeCell ref="B87:D87"/>
    <mergeCell ref="B88:D88"/>
  </mergeCells>
  <dataValidations count="1">
    <dataValidation type="list" allowBlank="1" showErrorMessage="1" errorTitle="Valor inválido" error="Selecione um valor da lista." sqref="A85:A92" xr:uid="{00000000-0002-0000-0300-000000000000}">
      <formula1>Projetos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9"/>
  <sheetViews>
    <sheetView showGridLines="0" zoomScaleNormal="100" workbookViewId="0">
      <selection activeCell="A2" sqref="A2:F2"/>
    </sheetView>
  </sheetViews>
  <sheetFormatPr defaultColWidth="8.6328125" defaultRowHeight="14.5" x14ac:dyDescent="0.35"/>
  <cols>
    <col min="1" max="1" width="32" customWidth="1"/>
    <col min="2" max="2" width="46" customWidth="1"/>
    <col min="3" max="6" width="14" customWidth="1"/>
  </cols>
  <sheetData>
    <row r="1" spans="1:6" ht="27.75" customHeight="1" x14ac:dyDescent="0.35">
      <c r="A1" s="34" t="s">
        <v>278</v>
      </c>
      <c r="B1" s="34"/>
      <c r="C1" s="34"/>
      <c r="D1" s="34"/>
      <c r="E1" s="34"/>
      <c r="F1" s="34"/>
    </row>
    <row r="2" spans="1:6" x14ac:dyDescent="0.35">
      <c r="A2" s="35" t="s">
        <v>279</v>
      </c>
      <c r="B2" s="35"/>
      <c r="C2" s="35"/>
      <c r="D2" s="35"/>
      <c r="E2" s="35"/>
      <c r="F2" s="35"/>
    </row>
    <row r="4" spans="1:6" ht="19.5" customHeight="1" x14ac:dyDescent="0.35">
      <c r="A4" s="32" t="s">
        <v>280</v>
      </c>
      <c r="B4" s="32"/>
      <c r="C4" s="32"/>
      <c r="D4" s="32"/>
      <c r="E4" s="32"/>
      <c r="F4" s="32"/>
    </row>
    <row r="5" spans="1:6" x14ac:dyDescent="0.35">
      <c r="A5" s="22" t="s">
        <v>281</v>
      </c>
      <c r="B5" s="14">
        <f>COUNTIFS('Base Gerencial'!$J$2:$J$2000,"&lt;&gt;",'Base Gerencial'!$O$2:$O$2000,"&lt;&gt;Apoio")</f>
        <v>8</v>
      </c>
    </row>
    <row r="6" spans="1:6" x14ac:dyDescent="0.35">
      <c r="A6" s="22" t="s">
        <v>282</v>
      </c>
      <c r="B6" s="14">
        <f>COUNTIFS('Base Gerencial'!$S$2:$S$2000,"Concluído",'Base Gerencial'!$O$2:$O$2000,"&lt;&gt;Apoio")</f>
        <v>4</v>
      </c>
    </row>
    <row r="7" spans="1:6" x14ac:dyDescent="0.35">
      <c r="A7" s="22" t="s">
        <v>186</v>
      </c>
      <c r="B7" s="14">
        <f>COUNTIFS('Base Gerencial'!$S$2:$S$2000,"Em andamento",'Base Gerencial'!$O$2:$O$2000,"&lt;&gt;Apoio")</f>
        <v>0</v>
      </c>
    </row>
    <row r="8" spans="1:6" x14ac:dyDescent="0.35">
      <c r="A8" s="22" t="s">
        <v>283</v>
      </c>
      <c r="B8" s="14">
        <f>COUNTIFS('Base Gerencial'!$N$2:$N$2000,"Sim",'Base Gerencial'!$O$2:$O$2000,"&lt;&gt;Apoio")</f>
        <v>1</v>
      </c>
    </row>
    <row r="9" spans="1:6" x14ac:dyDescent="0.35">
      <c r="A9" s="22" t="s">
        <v>284</v>
      </c>
      <c r="B9" s="14">
        <f>COUNTIF('Base Gerencial'!$O$2:$O$2000,"Apoio")</f>
        <v>0</v>
      </c>
    </row>
    <row r="10" spans="1:6" x14ac:dyDescent="0.35">
      <c r="A10" s="22" t="s">
        <v>285</v>
      </c>
      <c r="B10" s="15">
        <f>SUM('Base Gerencial'!$T$2:$T$2000)</f>
        <v>80</v>
      </c>
    </row>
    <row r="11" spans="1:6" x14ac:dyDescent="0.35">
      <c r="A11" s="22" t="s">
        <v>267</v>
      </c>
      <c r="B11" s="15">
        <f>SUM('Base Gerencial'!$W$2:$W$2000)</f>
        <v>149.80000000000001</v>
      </c>
    </row>
    <row r="12" spans="1:6" x14ac:dyDescent="0.35">
      <c r="A12" s="22" t="s">
        <v>286</v>
      </c>
      <c r="B12" s="15">
        <f>SUM('Base Gerencial'!$W$2:$W$2000)*12</f>
        <v>1797.6000000000001</v>
      </c>
    </row>
    <row r="13" spans="1:6" x14ac:dyDescent="0.35">
      <c r="A13" s="22" t="s">
        <v>287</v>
      </c>
      <c r="B13" s="21">
        <f>SUM('Base Gerencial'!$AH$2:$AH$2000)</f>
        <v>8500</v>
      </c>
    </row>
    <row r="14" spans="1:6" x14ac:dyDescent="0.35">
      <c r="A14" s="22" t="s">
        <v>288</v>
      </c>
      <c r="B14" s="23">
        <f>SUM('Base Gerencial'!$AG$2:$AG$2000)</f>
        <v>41</v>
      </c>
    </row>
    <row r="15" spans="1:6" x14ac:dyDescent="0.35">
      <c r="A15" s="22" t="s">
        <v>289</v>
      </c>
      <c r="B15" s="14">
        <f>COUNTIF('Base Gerencial'!$AJ$2:$AJ$2000,"Sim")</f>
        <v>4</v>
      </c>
    </row>
    <row r="16" spans="1:6" x14ac:dyDescent="0.35">
      <c r="A16" s="22" t="s">
        <v>290</v>
      </c>
      <c r="B16" s="14">
        <f>SUMPRODUCT(--(COUNTIF('Base Gerencial'!$B$2:$B$2000,'Base Gerencial'!$B$2:$B$2000)&gt;1),--('Base Gerencial'!$B$2:$B$2000&lt;&gt;""))</f>
        <v>0</v>
      </c>
    </row>
    <row r="18" spans="1:6" ht="19.5" customHeight="1" x14ac:dyDescent="0.35">
      <c r="A18" s="32" t="s">
        <v>291</v>
      </c>
      <c r="B18" s="32"/>
      <c r="C18" s="32"/>
      <c r="D18" s="32"/>
      <c r="E18" s="32"/>
      <c r="F18" s="32"/>
    </row>
    <row r="19" spans="1:6" x14ac:dyDescent="0.35">
      <c r="A19" s="22" t="s">
        <v>292</v>
      </c>
      <c r="B19" s="15">
        <f>SUM('Base Gerencial'!$U$2:$U$2000)</f>
        <v>166</v>
      </c>
    </row>
    <row r="20" spans="1:6" x14ac:dyDescent="0.35">
      <c r="A20" s="22" t="s">
        <v>293</v>
      </c>
      <c r="B20" s="15">
        <f>SUM('Base Gerencial'!$V$2:$V$2000)</f>
        <v>16.2</v>
      </c>
    </row>
    <row r="21" spans="1:6" x14ac:dyDescent="0.35">
      <c r="A21" s="22" t="s">
        <v>294</v>
      </c>
      <c r="B21" s="15">
        <f>SUM('Base Gerencial'!$U$2:$U$2000)-SUM('Base Gerencial'!$V$2:$V$2000)</f>
        <v>149.80000000000001</v>
      </c>
    </row>
    <row r="22" spans="1:6" x14ac:dyDescent="0.35">
      <c r="A22" s="22" t="s">
        <v>286</v>
      </c>
      <c r="B22" s="15">
        <f>(SUM('Base Gerencial'!$U$2:$U$2000)-SUM('Base Gerencial'!$V$2:$V$2000))*12</f>
        <v>1797.6000000000001</v>
      </c>
    </row>
    <row r="23" spans="1:6" x14ac:dyDescent="0.35">
      <c r="A23" s="22" t="s">
        <v>295</v>
      </c>
      <c r="B23" s="24">
        <f>IF(SUM('Base Gerencial'!$U$2:$U$2000)&gt;0,(SUM('Base Gerencial'!$U$2:$U$2000)-SUM('Base Gerencial'!$V$2:$V$2000))/SUM('Base Gerencial'!$U$2:$U$2000),0)</f>
        <v>0.90240963855421696</v>
      </c>
    </row>
    <row r="24" spans="1:6" x14ac:dyDescent="0.35">
      <c r="A24" s="22" t="s">
        <v>296</v>
      </c>
      <c r="B24" s="14">
        <f>COUNTIFS('Base Gerencial'!$U$2:$U$2000,"&gt;0",'Base Gerencial'!$O$2:$O$2000,"&lt;&gt;Apoio")</f>
        <v>5</v>
      </c>
    </row>
    <row r="26" spans="1:6" ht="19.5" customHeight="1" x14ac:dyDescent="0.35">
      <c r="A26" s="32" t="s">
        <v>297</v>
      </c>
      <c r="B26" s="32"/>
      <c r="C26" s="32"/>
      <c r="D26" s="32"/>
      <c r="E26" s="32"/>
      <c r="F26" s="32"/>
    </row>
    <row r="27" spans="1:6" x14ac:dyDescent="0.35">
      <c r="A27" s="1" t="s">
        <v>27</v>
      </c>
      <c r="B27" s="1" t="s">
        <v>298</v>
      </c>
      <c r="C27" s="1" t="s">
        <v>282</v>
      </c>
      <c r="D27" s="1" t="s">
        <v>299</v>
      </c>
      <c r="E27" s="1" t="s">
        <v>49</v>
      </c>
      <c r="F27" s="1" t="s">
        <v>300</v>
      </c>
    </row>
    <row r="28" spans="1:6" x14ac:dyDescent="0.35">
      <c r="A28" s="16" t="s">
        <v>301</v>
      </c>
      <c r="B28" s="25">
        <f>COUNTIFS('Base Gerencial'!$A$2:$A$2000,"José Victor",'Base Gerencial'!$O$2:$O$2000,"&lt;&gt;Apoio")</f>
        <v>0</v>
      </c>
      <c r="C28" s="25">
        <f>COUNTIFS('Base Gerencial'!$A$2:$A$2000,"José Victor",'Base Gerencial'!$S$2:$S$2000,"Concluído",'Base Gerencial'!$O$2:$O$2000,"&lt;&gt;Apoio")</f>
        <v>0</v>
      </c>
      <c r="D28" s="26">
        <f>SUMIFS('Base Gerencial'!$T$2:$T$2000,'Base Gerencial'!$A$2:$A$2000,"José Victor")</f>
        <v>0</v>
      </c>
      <c r="E28" s="26">
        <f>SUMIFS('Base Gerencial'!$W$2:$W$2000,'Base Gerencial'!$A$2:$A$2000,"José Victor")</f>
        <v>0</v>
      </c>
      <c r="F28" s="25">
        <f>COUNTIFS('Base Gerencial'!$A$2:$A$2000,"José Victor",'Base Gerencial'!$O$2:$O$2000,"Apoio")</f>
        <v>0</v>
      </c>
    </row>
    <row r="29" spans="1:6" x14ac:dyDescent="0.35">
      <c r="A29" s="16" t="s">
        <v>302</v>
      </c>
      <c r="B29" s="25">
        <f>COUNTIFS('Base Gerencial'!$A$2:$A$2000,"Viviane Lima",'Base Gerencial'!$O$2:$O$2000,"&lt;&gt;Apoio")</f>
        <v>0</v>
      </c>
      <c r="C29" s="25">
        <f>COUNTIFS('Base Gerencial'!$A$2:$A$2000,"Viviane Lima",'Base Gerencial'!$S$2:$S$2000,"Concluído",'Base Gerencial'!$O$2:$O$2000,"&lt;&gt;Apoio")</f>
        <v>0</v>
      </c>
      <c r="D29" s="26">
        <f>SUMIFS('Base Gerencial'!$T$2:$T$2000,'Base Gerencial'!$A$2:$A$2000,"Viviane Lima")</f>
        <v>0</v>
      </c>
      <c r="E29" s="26">
        <f>SUMIFS('Base Gerencial'!$W$2:$W$2000,'Base Gerencial'!$A$2:$A$2000,"Viviane Lima")</f>
        <v>0</v>
      </c>
      <c r="F29" s="25">
        <f>COUNTIFS('Base Gerencial'!$A$2:$A$2000,"Viviane Lima",'Base Gerencial'!$O$2:$O$2000,"Apoio")</f>
        <v>0</v>
      </c>
    </row>
    <row r="30" spans="1:6" x14ac:dyDescent="0.35">
      <c r="A30" s="16" t="s">
        <v>303</v>
      </c>
      <c r="B30" s="25">
        <f>COUNTIFS('Base Gerencial'!$A$2:$A$2000,"Juliana Santos",'Base Gerencial'!$O$2:$O$2000,"&lt;&gt;Apoio")</f>
        <v>0</v>
      </c>
      <c r="C30" s="25">
        <f>COUNTIFS('Base Gerencial'!$A$2:$A$2000,"Juliana Santos",'Base Gerencial'!$S$2:$S$2000,"Concluído",'Base Gerencial'!$O$2:$O$2000,"&lt;&gt;Apoio")</f>
        <v>0</v>
      </c>
      <c r="D30" s="26">
        <f>SUMIFS('Base Gerencial'!$T$2:$T$2000,'Base Gerencial'!$A$2:$A$2000,"Juliana Santos")</f>
        <v>0</v>
      </c>
      <c r="E30" s="26">
        <f>SUMIFS('Base Gerencial'!$W$2:$W$2000,'Base Gerencial'!$A$2:$A$2000,"Juliana Santos")</f>
        <v>0</v>
      </c>
      <c r="F30" s="25">
        <f>COUNTIFS('Base Gerencial'!$A$2:$A$2000,"Juliana Santos",'Base Gerencial'!$O$2:$O$2000,"Apoio")</f>
        <v>0</v>
      </c>
    </row>
    <row r="31" spans="1:6" x14ac:dyDescent="0.35">
      <c r="A31" s="16" t="s">
        <v>304</v>
      </c>
      <c r="B31" s="25">
        <f>COUNTIFS('Base Gerencial'!$A$2:$A$2000,"Filipe Messias",'Base Gerencial'!$O$2:$O$2000,"&lt;&gt;Apoio")</f>
        <v>8</v>
      </c>
      <c r="C31" s="25">
        <f>COUNTIFS('Base Gerencial'!$A$2:$A$2000,"Filipe Messias",'Base Gerencial'!$S$2:$S$2000,"Concluído",'Base Gerencial'!$O$2:$O$2000,"&lt;&gt;Apoio")</f>
        <v>4</v>
      </c>
      <c r="D31" s="26">
        <f>SUMIFS('Base Gerencial'!$T$2:$T$2000,'Base Gerencial'!$A$2:$A$2000,"Filipe Messias")</f>
        <v>80</v>
      </c>
      <c r="E31" s="26">
        <f>SUMIFS('Base Gerencial'!$W$2:$W$2000,'Base Gerencial'!$A$2:$A$2000,"Filipe Messias")</f>
        <v>149.80000000000001</v>
      </c>
      <c r="F31" s="25">
        <f>COUNTIFS('Base Gerencial'!$A$2:$A$2000,"Filipe Messias",'Base Gerencial'!$O$2:$O$2000,"Apoio")</f>
        <v>0</v>
      </c>
    </row>
    <row r="33" spans="1:6" ht="19.5" customHeight="1" x14ac:dyDescent="0.35">
      <c r="A33" s="32" t="s">
        <v>305</v>
      </c>
      <c r="B33" s="32"/>
      <c r="C33" s="32"/>
      <c r="D33" s="32"/>
      <c r="E33" s="32"/>
      <c r="F33" s="32"/>
    </row>
    <row r="34" spans="1:6" x14ac:dyDescent="0.35">
      <c r="A34" s="1" t="s">
        <v>306</v>
      </c>
      <c r="B34" s="1" t="s">
        <v>307</v>
      </c>
      <c r="C34" s="1" t="s">
        <v>282</v>
      </c>
      <c r="D34" s="1" t="s">
        <v>299</v>
      </c>
      <c r="E34" s="1" t="s">
        <v>49</v>
      </c>
    </row>
    <row r="35" spans="1:6" x14ac:dyDescent="0.35">
      <c r="A35" s="16" t="s">
        <v>114</v>
      </c>
      <c r="B35" s="25">
        <f>COUNTIFS('Base Gerencial'!$H$2:$H$2000,$A35,'Base Gerencial'!$O$2:$O$2000,"&lt;&gt;Apoio")</f>
        <v>1</v>
      </c>
      <c r="C35" s="25">
        <f>COUNTIFS('Base Gerencial'!$H$2:$H$2000,$A35,'Base Gerencial'!$S$2:$S$2000,"Concluído",'Base Gerencial'!$O$2:$O$2000,"&lt;&gt;Apoio")</f>
        <v>0</v>
      </c>
      <c r="D35" s="26">
        <f>SUMIFS('Base Gerencial'!$T$2:$T$2000,'Base Gerencial'!$H$2:$H$2000,$A35)</f>
        <v>8</v>
      </c>
      <c r="E35" s="26">
        <f>SUMIFS('Base Gerencial'!$W$2:$W$2000,'Base Gerencial'!$H$2:$H$2000,$A35)</f>
        <v>0</v>
      </c>
    </row>
    <row r="36" spans="1:6" x14ac:dyDescent="0.35">
      <c r="A36" s="16" t="s">
        <v>132</v>
      </c>
      <c r="B36" s="25">
        <f>COUNTIFS('Base Gerencial'!$H$2:$H$2000,$A36,'Base Gerencial'!$O$2:$O$2000,"&lt;&gt;Apoio")</f>
        <v>1</v>
      </c>
      <c r="C36" s="25">
        <f>COUNTIFS('Base Gerencial'!$H$2:$H$2000,$A36,'Base Gerencial'!$S$2:$S$2000,"Concluído",'Base Gerencial'!$O$2:$O$2000,"&lt;&gt;Apoio")</f>
        <v>0</v>
      </c>
      <c r="D36" s="26">
        <f>SUMIFS('Base Gerencial'!$T$2:$T$2000,'Base Gerencial'!$H$2:$H$2000,$A36)</f>
        <v>0</v>
      </c>
      <c r="E36" s="26">
        <f>SUMIFS('Base Gerencial'!$W$2:$W$2000,'Base Gerencial'!$H$2:$H$2000,$A36)</f>
        <v>0</v>
      </c>
    </row>
    <row r="37" spans="1:6" x14ac:dyDescent="0.35">
      <c r="A37" s="16" t="s">
        <v>68</v>
      </c>
      <c r="B37" s="25">
        <f>COUNTIFS('Base Gerencial'!$H$2:$H$2000,$A37,'Base Gerencial'!$O$2:$O$2000,"&lt;&gt;Apoio")</f>
        <v>5</v>
      </c>
      <c r="C37" s="25">
        <f>COUNTIFS('Base Gerencial'!$H$2:$H$2000,$A37,'Base Gerencial'!$S$2:$S$2000,"Concluído",'Base Gerencial'!$O$2:$O$2000,"&lt;&gt;Apoio")</f>
        <v>3</v>
      </c>
      <c r="D37" s="26">
        <f>SUMIFS('Base Gerencial'!$T$2:$T$2000,'Base Gerencial'!$H$2:$H$2000,$A37)</f>
        <v>48</v>
      </c>
      <c r="E37" s="26">
        <f>SUMIFS('Base Gerencial'!$W$2:$W$2000,'Base Gerencial'!$H$2:$H$2000,$A37)</f>
        <v>135.80000000000001</v>
      </c>
    </row>
    <row r="38" spans="1:6" x14ac:dyDescent="0.35">
      <c r="A38" s="16" t="s">
        <v>165</v>
      </c>
      <c r="B38" s="25">
        <f>COUNTIFS('Base Gerencial'!$H$2:$H$2000,$A38,'Base Gerencial'!$O$2:$O$2000,"&lt;&gt;Apoio")</f>
        <v>1</v>
      </c>
      <c r="C38" s="25">
        <f>COUNTIFS('Base Gerencial'!$H$2:$H$2000,$A38,'Base Gerencial'!$S$2:$S$2000,"Concluído",'Base Gerencial'!$O$2:$O$2000,"&lt;&gt;Apoio")</f>
        <v>1</v>
      </c>
      <c r="D38" s="26">
        <f>SUMIFS('Base Gerencial'!$T$2:$T$2000,'Base Gerencial'!$H$2:$H$2000,$A38)</f>
        <v>24</v>
      </c>
      <c r="E38" s="26">
        <f>SUMIFS('Base Gerencial'!$W$2:$W$2000,'Base Gerencial'!$H$2:$H$2000,$A38)</f>
        <v>14</v>
      </c>
    </row>
    <row r="39" spans="1:6" x14ac:dyDescent="0.35">
      <c r="A39" s="16" t="s">
        <v>183</v>
      </c>
      <c r="B39" s="25">
        <f>COUNTIFS('Base Gerencial'!$H$2:$H$2000,$A39,'Base Gerencial'!$O$2:$O$2000,"&lt;&gt;Apoio")</f>
        <v>0</v>
      </c>
      <c r="C39" s="25">
        <f>COUNTIFS('Base Gerencial'!$H$2:$H$2000,$A39,'Base Gerencial'!$S$2:$S$2000,"Concluído",'Base Gerencial'!$O$2:$O$2000,"&lt;&gt;Apoio")</f>
        <v>0</v>
      </c>
      <c r="D39" s="26">
        <f>SUMIFS('Base Gerencial'!$T$2:$T$2000,'Base Gerencial'!$H$2:$H$2000,$A39)</f>
        <v>0</v>
      </c>
      <c r="E39" s="26">
        <f>SUMIFS('Base Gerencial'!$W$2:$W$2000,'Base Gerencial'!$H$2:$H$2000,$A39)</f>
        <v>0</v>
      </c>
    </row>
    <row r="40" spans="1:6" x14ac:dyDescent="0.35">
      <c r="A40" s="16" t="s">
        <v>175</v>
      </c>
      <c r="B40" s="25">
        <f>COUNTIFS('Base Gerencial'!$H$2:$H$2000,$A40,'Base Gerencial'!$O$2:$O$2000,"&lt;&gt;Apoio")</f>
        <v>0</v>
      </c>
      <c r="C40" s="25">
        <f>COUNTIFS('Base Gerencial'!$H$2:$H$2000,$A40,'Base Gerencial'!$S$2:$S$2000,"Concluído",'Base Gerencial'!$O$2:$O$2000,"&lt;&gt;Apoio")</f>
        <v>0</v>
      </c>
      <c r="D40" s="26">
        <f>SUMIFS('Base Gerencial'!$T$2:$T$2000,'Base Gerencial'!$H$2:$H$2000,$A40)</f>
        <v>0</v>
      </c>
      <c r="E40" s="26">
        <f>SUMIFS('Base Gerencial'!$W$2:$W$2000,'Base Gerencial'!$H$2:$H$2000,$A40)</f>
        <v>0</v>
      </c>
    </row>
    <row r="42" spans="1:6" ht="19.5" customHeight="1" x14ac:dyDescent="0.35">
      <c r="A42" s="32" t="s">
        <v>308</v>
      </c>
      <c r="B42" s="32"/>
      <c r="C42" s="32"/>
      <c r="D42" s="32"/>
      <c r="E42" s="32"/>
      <c r="F42" s="32"/>
    </row>
    <row r="43" spans="1:6" x14ac:dyDescent="0.35">
      <c r="A43" s="27" t="s">
        <v>309</v>
      </c>
      <c r="B43" s="27" t="s">
        <v>35</v>
      </c>
      <c r="C43" s="27" t="s">
        <v>307</v>
      </c>
      <c r="D43" s="27" t="s">
        <v>282</v>
      </c>
    </row>
    <row r="44" spans="1:6" x14ac:dyDescent="0.35">
      <c r="A44" s="16" t="s">
        <v>114</v>
      </c>
      <c r="B44" s="16" t="s">
        <v>310</v>
      </c>
      <c r="C44" s="25">
        <f>COUNTIFS('Base Gerencial'!$I$2:$I$2000,$B44,'Base Gerencial'!$O$2:$O$2000,"&lt;&gt;Apoio")</f>
        <v>0</v>
      </c>
      <c r="D44" s="25">
        <f>COUNTIFS('Base Gerencial'!$I$2:$I$2000,$B44,'Base Gerencial'!$S$2:$S$2000,"Concluído",'Base Gerencial'!$O$2:$O$2000,"&lt;&gt;Apoio")</f>
        <v>0</v>
      </c>
    </row>
    <row r="45" spans="1:6" x14ac:dyDescent="0.35">
      <c r="A45" s="16" t="s">
        <v>114</v>
      </c>
      <c r="B45" s="16" t="s">
        <v>311</v>
      </c>
      <c r="C45" s="25">
        <f>COUNTIFS('Base Gerencial'!$I$2:$I$2000,$B45,'Base Gerencial'!$O$2:$O$2000,"&lt;&gt;Apoio")</f>
        <v>0</v>
      </c>
      <c r="D45" s="25">
        <f>COUNTIFS('Base Gerencial'!$I$2:$I$2000,$B45,'Base Gerencial'!$S$2:$S$2000,"Concluído",'Base Gerencial'!$O$2:$O$2000,"&lt;&gt;Apoio")</f>
        <v>0</v>
      </c>
    </row>
    <row r="46" spans="1:6" x14ac:dyDescent="0.35">
      <c r="A46" s="16" t="s">
        <v>114</v>
      </c>
      <c r="B46" s="16" t="s">
        <v>312</v>
      </c>
      <c r="C46" s="25">
        <f>COUNTIFS('Base Gerencial'!$I$2:$I$2000,$B46,'Base Gerencial'!$O$2:$O$2000,"&lt;&gt;Apoio")</f>
        <v>0</v>
      </c>
      <c r="D46" s="25">
        <f>COUNTIFS('Base Gerencial'!$I$2:$I$2000,$B46,'Base Gerencial'!$S$2:$S$2000,"Concluído",'Base Gerencial'!$O$2:$O$2000,"&lt;&gt;Apoio")</f>
        <v>0</v>
      </c>
    </row>
    <row r="47" spans="1:6" x14ac:dyDescent="0.35">
      <c r="A47" s="16" t="s">
        <v>114</v>
      </c>
      <c r="B47" s="16" t="s">
        <v>313</v>
      </c>
      <c r="C47" s="25">
        <f>COUNTIFS('Base Gerencial'!$I$2:$I$2000,$B47,'Base Gerencial'!$O$2:$O$2000,"&lt;&gt;Apoio")</f>
        <v>0</v>
      </c>
      <c r="D47" s="25">
        <f>COUNTIFS('Base Gerencial'!$I$2:$I$2000,$B47,'Base Gerencial'!$S$2:$S$2000,"Concluído",'Base Gerencial'!$O$2:$O$2000,"&lt;&gt;Apoio")</f>
        <v>0</v>
      </c>
    </row>
    <row r="48" spans="1:6" x14ac:dyDescent="0.35">
      <c r="A48" s="16" t="s">
        <v>114</v>
      </c>
      <c r="B48" s="16" t="s">
        <v>314</v>
      </c>
      <c r="C48" s="25">
        <f>COUNTIFS('Base Gerencial'!$I$2:$I$2000,$B48,'Base Gerencial'!$O$2:$O$2000,"&lt;&gt;Apoio")</f>
        <v>0</v>
      </c>
      <c r="D48" s="25">
        <f>COUNTIFS('Base Gerencial'!$I$2:$I$2000,$B48,'Base Gerencial'!$S$2:$S$2000,"Concluído",'Base Gerencial'!$O$2:$O$2000,"&lt;&gt;Apoio")</f>
        <v>0</v>
      </c>
    </row>
    <row r="49" spans="1:4" x14ac:dyDescent="0.35">
      <c r="A49" s="16" t="s">
        <v>114</v>
      </c>
      <c r="B49" s="16" t="s">
        <v>115</v>
      </c>
      <c r="C49" s="25">
        <f>COUNTIFS('Base Gerencial'!$I$2:$I$2000,$B49,'Base Gerencial'!$O$2:$O$2000,"&lt;&gt;Apoio")</f>
        <v>1</v>
      </c>
      <c r="D49" s="25">
        <f>COUNTIFS('Base Gerencial'!$I$2:$I$2000,$B49,'Base Gerencial'!$S$2:$S$2000,"Concluído",'Base Gerencial'!$O$2:$O$2000,"&lt;&gt;Apoio")</f>
        <v>0</v>
      </c>
    </row>
    <row r="50" spans="1:4" x14ac:dyDescent="0.35">
      <c r="A50" s="16" t="s">
        <v>132</v>
      </c>
      <c r="B50" s="16" t="s">
        <v>133</v>
      </c>
      <c r="C50" s="25">
        <f>COUNTIFS('Base Gerencial'!$I$2:$I$2000,$B50,'Base Gerencial'!$O$2:$O$2000,"&lt;&gt;Apoio")</f>
        <v>1</v>
      </c>
      <c r="D50" s="25">
        <f>COUNTIFS('Base Gerencial'!$I$2:$I$2000,$B50,'Base Gerencial'!$S$2:$S$2000,"Concluído",'Base Gerencial'!$O$2:$O$2000,"&lt;&gt;Apoio")</f>
        <v>0</v>
      </c>
    </row>
    <row r="51" spans="1:4" x14ac:dyDescent="0.35">
      <c r="A51" s="16" t="s">
        <v>132</v>
      </c>
      <c r="B51" s="16" t="s">
        <v>315</v>
      </c>
      <c r="C51" s="25">
        <f>COUNTIFS('Base Gerencial'!$I$2:$I$2000,$B51,'Base Gerencial'!$O$2:$O$2000,"&lt;&gt;Apoio")</f>
        <v>0</v>
      </c>
      <c r="D51" s="25">
        <f>COUNTIFS('Base Gerencial'!$I$2:$I$2000,$B51,'Base Gerencial'!$S$2:$S$2000,"Concluído",'Base Gerencial'!$O$2:$O$2000,"&lt;&gt;Apoio")</f>
        <v>0</v>
      </c>
    </row>
    <row r="52" spans="1:4" x14ac:dyDescent="0.35">
      <c r="A52" s="16" t="s">
        <v>132</v>
      </c>
      <c r="B52" s="16" t="s">
        <v>316</v>
      </c>
      <c r="C52" s="25">
        <f>COUNTIFS('Base Gerencial'!$I$2:$I$2000,$B52,'Base Gerencial'!$O$2:$O$2000,"&lt;&gt;Apoio")</f>
        <v>0</v>
      </c>
      <c r="D52" s="25">
        <f>COUNTIFS('Base Gerencial'!$I$2:$I$2000,$B52,'Base Gerencial'!$S$2:$S$2000,"Concluído",'Base Gerencial'!$O$2:$O$2000,"&lt;&gt;Apoio")</f>
        <v>0</v>
      </c>
    </row>
    <row r="53" spans="1:4" x14ac:dyDescent="0.35">
      <c r="A53" s="16" t="s">
        <v>132</v>
      </c>
      <c r="B53" s="16" t="s">
        <v>317</v>
      </c>
      <c r="C53" s="25">
        <f>COUNTIFS('Base Gerencial'!$I$2:$I$2000,$B53,'Base Gerencial'!$O$2:$O$2000,"&lt;&gt;Apoio")</f>
        <v>0</v>
      </c>
      <c r="D53" s="25">
        <f>COUNTIFS('Base Gerencial'!$I$2:$I$2000,$B53,'Base Gerencial'!$S$2:$S$2000,"Concluído",'Base Gerencial'!$O$2:$O$2000,"&lt;&gt;Apoio")</f>
        <v>0</v>
      </c>
    </row>
    <row r="54" spans="1:4" x14ac:dyDescent="0.35">
      <c r="A54" s="16" t="s">
        <v>132</v>
      </c>
      <c r="B54" s="16" t="s">
        <v>318</v>
      </c>
      <c r="C54" s="25">
        <f>COUNTIFS('Base Gerencial'!$I$2:$I$2000,$B54,'Base Gerencial'!$O$2:$O$2000,"&lt;&gt;Apoio")</f>
        <v>0</v>
      </c>
      <c r="D54" s="25">
        <f>COUNTIFS('Base Gerencial'!$I$2:$I$2000,$B54,'Base Gerencial'!$S$2:$S$2000,"Concluído",'Base Gerencial'!$O$2:$O$2000,"&lt;&gt;Apoio")</f>
        <v>0</v>
      </c>
    </row>
    <row r="55" spans="1:4" x14ac:dyDescent="0.35">
      <c r="A55" s="16" t="s">
        <v>68</v>
      </c>
      <c r="B55" s="16" t="s">
        <v>90</v>
      </c>
      <c r="C55" s="25">
        <f>COUNTIFS('Base Gerencial'!$I$2:$I$2000,$B55,'Base Gerencial'!$O$2:$O$2000,"&lt;&gt;Apoio")</f>
        <v>3</v>
      </c>
      <c r="D55" s="25">
        <f>COUNTIFS('Base Gerencial'!$I$2:$I$2000,$B55,'Base Gerencial'!$S$2:$S$2000,"Concluído",'Base Gerencial'!$O$2:$O$2000,"&lt;&gt;Apoio")</f>
        <v>2</v>
      </c>
    </row>
    <row r="56" spans="1:4" x14ac:dyDescent="0.35">
      <c r="A56" s="16" t="s">
        <v>68</v>
      </c>
      <c r="B56" s="16" t="s">
        <v>319</v>
      </c>
      <c r="C56" s="25">
        <f>COUNTIFS('Base Gerencial'!$I$2:$I$2000,$B56,'Base Gerencial'!$O$2:$O$2000,"&lt;&gt;Apoio")</f>
        <v>0</v>
      </c>
      <c r="D56" s="25">
        <f>COUNTIFS('Base Gerencial'!$I$2:$I$2000,$B56,'Base Gerencial'!$S$2:$S$2000,"Concluído",'Base Gerencial'!$O$2:$O$2000,"&lt;&gt;Apoio")</f>
        <v>0</v>
      </c>
    </row>
    <row r="57" spans="1:4" x14ac:dyDescent="0.35">
      <c r="A57" s="16" t="s">
        <v>68</v>
      </c>
      <c r="B57" s="16" t="s">
        <v>320</v>
      </c>
      <c r="C57" s="25">
        <f>COUNTIFS('Base Gerencial'!$I$2:$I$2000,$B57,'Base Gerencial'!$O$2:$O$2000,"&lt;&gt;Apoio")</f>
        <v>0</v>
      </c>
      <c r="D57" s="25">
        <f>COUNTIFS('Base Gerencial'!$I$2:$I$2000,$B57,'Base Gerencial'!$S$2:$S$2000,"Concluído",'Base Gerencial'!$O$2:$O$2000,"&lt;&gt;Apoio")</f>
        <v>0</v>
      </c>
    </row>
    <row r="58" spans="1:4" x14ac:dyDescent="0.35">
      <c r="A58" s="16" t="s">
        <v>68</v>
      </c>
      <c r="B58" s="16" t="s">
        <v>321</v>
      </c>
      <c r="C58" s="25">
        <f>COUNTIFS('Base Gerencial'!$I$2:$I$2000,$B58,'Base Gerencial'!$O$2:$O$2000,"&lt;&gt;Apoio")</f>
        <v>0</v>
      </c>
      <c r="D58" s="25">
        <f>COUNTIFS('Base Gerencial'!$I$2:$I$2000,$B58,'Base Gerencial'!$S$2:$S$2000,"Concluído",'Base Gerencial'!$O$2:$O$2000,"&lt;&gt;Apoio")</f>
        <v>0</v>
      </c>
    </row>
    <row r="59" spans="1:4" x14ac:dyDescent="0.35">
      <c r="A59" s="16" t="s">
        <v>68</v>
      </c>
      <c r="B59" s="16" t="s">
        <v>145</v>
      </c>
      <c r="C59" s="25">
        <f>COUNTIFS('Base Gerencial'!$I$2:$I$2000,$B59,'Base Gerencial'!$O$2:$O$2000,"&lt;&gt;Apoio")</f>
        <v>1</v>
      </c>
      <c r="D59" s="25">
        <f>COUNTIFS('Base Gerencial'!$I$2:$I$2000,$B59,'Base Gerencial'!$S$2:$S$2000,"Concluído",'Base Gerencial'!$O$2:$O$2000,"&lt;&gt;Apoio")</f>
        <v>0</v>
      </c>
    </row>
    <row r="60" spans="1:4" x14ac:dyDescent="0.35">
      <c r="A60" s="16" t="s">
        <v>68</v>
      </c>
      <c r="B60" s="16" t="s">
        <v>322</v>
      </c>
      <c r="C60" s="25">
        <f>COUNTIFS('Base Gerencial'!$I$2:$I$2000,$B60,'Base Gerencial'!$O$2:$O$2000,"&lt;&gt;Apoio")</f>
        <v>0</v>
      </c>
      <c r="D60" s="25">
        <f>COUNTIFS('Base Gerencial'!$I$2:$I$2000,$B60,'Base Gerencial'!$S$2:$S$2000,"Concluído",'Base Gerencial'!$O$2:$O$2000,"&lt;&gt;Apoio")</f>
        <v>0</v>
      </c>
    </row>
    <row r="61" spans="1:4" x14ac:dyDescent="0.35">
      <c r="A61" s="16" t="s">
        <v>165</v>
      </c>
      <c r="B61" s="16" t="s">
        <v>196</v>
      </c>
      <c r="C61" s="25">
        <f>COUNTIFS('Base Gerencial'!$I$2:$I$2000,$B61,'Base Gerencial'!$O$2:$O$2000,"&lt;&gt;Apoio")</f>
        <v>0</v>
      </c>
      <c r="D61" s="25">
        <f>COUNTIFS('Base Gerencial'!$I$2:$I$2000,$B61,'Base Gerencial'!$S$2:$S$2000,"Concluído",'Base Gerencial'!$O$2:$O$2000,"&lt;&gt;Apoio")</f>
        <v>0</v>
      </c>
    </row>
    <row r="62" spans="1:4" x14ac:dyDescent="0.35">
      <c r="A62" s="16" t="s">
        <v>165</v>
      </c>
      <c r="B62" s="16" t="s">
        <v>166</v>
      </c>
      <c r="C62" s="25">
        <f>COUNTIFS('Base Gerencial'!$I$2:$I$2000,$B62,'Base Gerencial'!$O$2:$O$2000,"&lt;&gt;Apoio")</f>
        <v>1</v>
      </c>
      <c r="D62" s="25">
        <f>COUNTIFS('Base Gerencial'!$I$2:$I$2000,$B62,'Base Gerencial'!$S$2:$S$2000,"Concluído",'Base Gerencial'!$O$2:$O$2000,"&lt;&gt;Apoio")</f>
        <v>1</v>
      </c>
    </row>
    <row r="63" spans="1:4" x14ac:dyDescent="0.35">
      <c r="A63" s="16" t="s">
        <v>165</v>
      </c>
      <c r="B63" s="16" t="s">
        <v>323</v>
      </c>
      <c r="C63" s="25">
        <f>COUNTIFS('Base Gerencial'!$I$2:$I$2000,$B63,'Base Gerencial'!$O$2:$O$2000,"&lt;&gt;Apoio")</f>
        <v>0</v>
      </c>
      <c r="D63" s="25">
        <f>COUNTIFS('Base Gerencial'!$I$2:$I$2000,$B63,'Base Gerencial'!$S$2:$S$2000,"Concluído",'Base Gerencial'!$O$2:$O$2000,"&lt;&gt;Apoio")</f>
        <v>0</v>
      </c>
    </row>
    <row r="64" spans="1:4" x14ac:dyDescent="0.35">
      <c r="A64" s="16" t="s">
        <v>165</v>
      </c>
      <c r="B64" s="16" t="s">
        <v>324</v>
      </c>
      <c r="C64" s="25">
        <f>COUNTIFS('Base Gerencial'!$I$2:$I$2000,$B64,'Base Gerencial'!$O$2:$O$2000,"&lt;&gt;Apoio")</f>
        <v>0</v>
      </c>
      <c r="D64" s="25">
        <f>COUNTIFS('Base Gerencial'!$I$2:$I$2000,$B64,'Base Gerencial'!$S$2:$S$2000,"Concluído",'Base Gerencial'!$O$2:$O$2000,"&lt;&gt;Apoio")</f>
        <v>0</v>
      </c>
    </row>
    <row r="65" spans="1:6" x14ac:dyDescent="0.35">
      <c r="A65" s="16" t="s">
        <v>183</v>
      </c>
      <c r="B65" s="16" t="s">
        <v>184</v>
      </c>
      <c r="C65" s="25">
        <f>COUNTIFS('Base Gerencial'!$I$2:$I$2000,$B65,'Base Gerencial'!$O$2:$O$2000,"&lt;&gt;Apoio")</f>
        <v>0</v>
      </c>
      <c r="D65" s="25">
        <f>COUNTIFS('Base Gerencial'!$I$2:$I$2000,$B65,'Base Gerencial'!$S$2:$S$2000,"Concluído",'Base Gerencial'!$O$2:$O$2000,"&lt;&gt;Apoio")</f>
        <v>0</v>
      </c>
    </row>
    <row r="66" spans="1:6" x14ac:dyDescent="0.35">
      <c r="A66" s="16" t="s">
        <v>183</v>
      </c>
      <c r="B66" s="16" t="s">
        <v>325</v>
      </c>
      <c r="C66" s="25">
        <f>COUNTIFS('Base Gerencial'!$I$2:$I$2000,$B66,'Base Gerencial'!$O$2:$O$2000,"&lt;&gt;Apoio")</f>
        <v>0</v>
      </c>
      <c r="D66" s="25">
        <f>COUNTIFS('Base Gerencial'!$I$2:$I$2000,$B66,'Base Gerencial'!$S$2:$S$2000,"Concluído",'Base Gerencial'!$O$2:$O$2000,"&lt;&gt;Apoio")</f>
        <v>0</v>
      </c>
    </row>
    <row r="67" spans="1:6" x14ac:dyDescent="0.35">
      <c r="A67" s="16" t="s">
        <v>183</v>
      </c>
      <c r="B67" s="16" t="s">
        <v>326</v>
      </c>
      <c r="C67" s="25">
        <f>COUNTIFS('Base Gerencial'!$I$2:$I$2000,$B67,'Base Gerencial'!$O$2:$O$2000,"&lt;&gt;Apoio")</f>
        <v>0</v>
      </c>
      <c r="D67" s="25">
        <f>COUNTIFS('Base Gerencial'!$I$2:$I$2000,$B67,'Base Gerencial'!$S$2:$S$2000,"Concluído",'Base Gerencial'!$O$2:$O$2000,"&lt;&gt;Apoio")</f>
        <v>0</v>
      </c>
    </row>
    <row r="68" spans="1:6" x14ac:dyDescent="0.35">
      <c r="A68" s="16" t="s">
        <v>183</v>
      </c>
      <c r="B68" s="16" t="s">
        <v>327</v>
      </c>
      <c r="C68" s="25">
        <f>COUNTIFS('Base Gerencial'!$I$2:$I$2000,$B68,'Base Gerencial'!$O$2:$O$2000,"&lt;&gt;Apoio")</f>
        <v>0</v>
      </c>
      <c r="D68" s="25">
        <f>COUNTIFS('Base Gerencial'!$I$2:$I$2000,$B68,'Base Gerencial'!$S$2:$S$2000,"Concluído",'Base Gerencial'!$O$2:$O$2000,"&lt;&gt;Apoio")</f>
        <v>0</v>
      </c>
    </row>
    <row r="69" spans="1:6" x14ac:dyDescent="0.35">
      <c r="A69" s="16" t="s">
        <v>175</v>
      </c>
      <c r="B69" s="16" t="s">
        <v>69</v>
      </c>
      <c r="C69" s="25">
        <f>COUNTIFS('Base Gerencial'!$I$2:$I$2000,$B69,'Base Gerencial'!$O$2:$O$2000,"&lt;&gt;Apoio")</f>
        <v>1</v>
      </c>
      <c r="D69" s="25">
        <f>COUNTIFS('Base Gerencial'!$I$2:$I$2000,$B69,'Base Gerencial'!$S$2:$S$2000,"Concluído",'Base Gerencial'!$O$2:$O$2000,"&lt;&gt;Apoio")</f>
        <v>1</v>
      </c>
    </row>
    <row r="70" spans="1:6" x14ac:dyDescent="0.35">
      <c r="A70" s="16" t="s">
        <v>175</v>
      </c>
      <c r="B70" s="16" t="s">
        <v>328</v>
      </c>
      <c r="C70" s="25">
        <f>COUNTIFS('Base Gerencial'!$I$2:$I$2000,$B70,'Base Gerencial'!$O$2:$O$2000,"&lt;&gt;Apoio")</f>
        <v>0</v>
      </c>
      <c r="D70" s="25">
        <f>COUNTIFS('Base Gerencial'!$I$2:$I$2000,$B70,'Base Gerencial'!$S$2:$S$2000,"Concluído",'Base Gerencial'!$O$2:$O$2000,"&lt;&gt;Apoio")</f>
        <v>0</v>
      </c>
    </row>
    <row r="71" spans="1:6" x14ac:dyDescent="0.35">
      <c r="A71" s="16" t="s">
        <v>175</v>
      </c>
      <c r="B71" s="16" t="s">
        <v>204</v>
      </c>
      <c r="C71" s="25">
        <f>COUNTIFS('Base Gerencial'!$I$2:$I$2000,$B71,'Base Gerencial'!$O$2:$O$2000,"&lt;&gt;Apoio")</f>
        <v>0</v>
      </c>
      <c r="D71" s="25">
        <f>COUNTIFS('Base Gerencial'!$I$2:$I$2000,$B71,'Base Gerencial'!$S$2:$S$2000,"Concluído",'Base Gerencial'!$O$2:$O$2000,"&lt;&gt;Apoio")</f>
        <v>0</v>
      </c>
    </row>
    <row r="72" spans="1:6" x14ac:dyDescent="0.35">
      <c r="A72" s="16" t="s">
        <v>175</v>
      </c>
      <c r="B72" s="16" t="s">
        <v>329</v>
      </c>
      <c r="C72" s="25">
        <f>COUNTIFS('Base Gerencial'!$I$2:$I$2000,$B72,'Base Gerencial'!$O$2:$O$2000,"&lt;&gt;Apoio")</f>
        <v>0</v>
      </c>
      <c r="D72" s="25">
        <f>COUNTIFS('Base Gerencial'!$I$2:$I$2000,$B72,'Base Gerencial'!$S$2:$S$2000,"Concluído",'Base Gerencial'!$O$2:$O$2000,"&lt;&gt;Apoio")</f>
        <v>0</v>
      </c>
    </row>
    <row r="73" spans="1:6" x14ac:dyDescent="0.35">
      <c r="A73" s="16" t="s">
        <v>175</v>
      </c>
      <c r="B73" s="16" t="s">
        <v>176</v>
      </c>
      <c r="C73" s="25">
        <f>COUNTIFS('Base Gerencial'!$I$2:$I$2000,$B73,'Base Gerencial'!$O$2:$O$2000,"&lt;&gt;Apoio")</f>
        <v>0</v>
      </c>
      <c r="D73" s="25">
        <f>COUNTIFS('Base Gerencial'!$I$2:$I$2000,$B73,'Base Gerencial'!$S$2:$S$2000,"Concluído",'Base Gerencial'!$O$2:$O$2000,"&lt;&gt;Apoio")</f>
        <v>0</v>
      </c>
    </row>
    <row r="74" spans="1:6" x14ac:dyDescent="0.35">
      <c r="A74" s="16" t="s">
        <v>175</v>
      </c>
      <c r="B74" s="16" t="s">
        <v>330</v>
      </c>
      <c r="C74" s="25">
        <f>COUNTIFS('Base Gerencial'!$I$2:$I$2000,$B74,'Base Gerencial'!$O$2:$O$2000,"&lt;&gt;Apoio")</f>
        <v>0</v>
      </c>
      <c r="D74" s="25">
        <f>COUNTIFS('Base Gerencial'!$I$2:$I$2000,$B74,'Base Gerencial'!$S$2:$S$2000,"Concluído",'Base Gerencial'!$O$2:$O$2000,"&lt;&gt;Apoio")</f>
        <v>0</v>
      </c>
    </row>
    <row r="75" spans="1:6" x14ac:dyDescent="0.35">
      <c r="A75" s="16" t="s">
        <v>175</v>
      </c>
      <c r="B75" s="16" t="s">
        <v>331</v>
      </c>
      <c r="C75" s="25">
        <f>COUNTIFS('Base Gerencial'!$I$2:$I$2000,$B75,'Base Gerencial'!$O$2:$O$2000,"&lt;&gt;Apoio")</f>
        <v>0</v>
      </c>
      <c r="D75" s="25">
        <f>COUNTIFS('Base Gerencial'!$I$2:$I$2000,$B75,'Base Gerencial'!$S$2:$S$2000,"Concluído",'Base Gerencial'!$O$2:$O$2000,"&lt;&gt;Apoio")</f>
        <v>0</v>
      </c>
    </row>
    <row r="77" spans="1:6" ht="19.5" customHeight="1" x14ac:dyDescent="0.35">
      <c r="A77" s="32" t="s">
        <v>332</v>
      </c>
      <c r="B77" s="32"/>
      <c r="C77" s="32"/>
      <c r="D77" s="32"/>
      <c r="E77" s="32"/>
      <c r="F77" s="32"/>
    </row>
    <row r="78" spans="1:6" x14ac:dyDescent="0.35">
      <c r="A78" s="1" t="s">
        <v>306</v>
      </c>
      <c r="B78" s="1" t="s">
        <v>307</v>
      </c>
      <c r="C78" s="1" t="s">
        <v>282</v>
      </c>
      <c r="D78" s="1" t="s">
        <v>299</v>
      </c>
      <c r="E78" s="1" t="s">
        <v>49</v>
      </c>
    </row>
    <row r="79" spans="1:6" x14ac:dyDescent="0.35">
      <c r="A79" s="16" t="s">
        <v>333</v>
      </c>
      <c r="B79" s="25">
        <f>COUNTIFS('Base Gerencial'!$L$2:$L$2000,$A79,'Base Gerencial'!$O$2:$O$2000,"&lt;&gt;Apoio")</f>
        <v>0</v>
      </c>
      <c r="C79" s="25">
        <f>COUNTIFS('Base Gerencial'!$L$2:$L$2000,$A79,'Base Gerencial'!$S$2:$S$2000,"Concluído",'Base Gerencial'!$O$2:$O$2000,"&lt;&gt;Apoio")</f>
        <v>0</v>
      </c>
      <c r="D79" s="26">
        <f>SUMIFS('Base Gerencial'!$T$2:$T$2000,'Base Gerencial'!$L$2:$L$2000,$A79)</f>
        <v>0</v>
      </c>
      <c r="E79" s="26">
        <f>SUMIFS('Base Gerencial'!$W$2:$W$2000,'Base Gerencial'!$L$2:$L$2000,$A79)</f>
        <v>0</v>
      </c>
    </row>
    <row r="80" spans="1:6" x14ac:dyDescent="0.35">
      <c r="A80" s="16" t="s">
        <v>93</v>
      </c>
      <c r="B80" s="25">
        <f>COUNTIFS('Base Gerencial'!$L$2:$L$2000,$A80,'Base Gerencial'!$O$2:$O$2000,"&lt;&gt;Apoio")</f>
        <v>2</v>
      </c>
      <c r="C80" s="25">
        <f>COUNTIFS('Base Gerencial'!$L$2:$L$2000,$A80,'Base Gerencial'!$S$2:$S$2000,"Concluído",'Base Gerencial'!$O$2:$O$2000,"&lt;&gt;Apoio")</f>
        <v>2</v>
      </c>
      <c r="D80" s="26">
        <f>SUMIFS('Base Gerencial'!$T$2:$T$2000,'Base Gerencial'!$L$2:$L$2000,$A80)</f>
        <v>24</v>
      </c>
      <c r="E80" s="26">
        <f>SUMIFS('Base Gerencial'!$W$2:$W$2000,'Base Gerencial'!$L$2:$L$2000,$A80)</f>
        <v>72</v>
      </c>
    </row>
    <row r="81" spans="1:6" x14ac:dyDescent="0.35">
      <c r="A81" s="16" t="s">
        <v>334</v>
      </c>
      <c r="B81" s="25">
        <f>COUNTIFS('Base Gerencial'!$L$2:$L$2000,$A81,'Base Gerencial'!$O$2:$O$2000,"&lt;&gt;Apoio")</f>
        <v>0</v>
      </c>
      <c r="C81" s="25">
        <f>COUNTIFS('Base Gerencial'!$L$2:$L$2000,$A81,'Base Gerencial'!$S$2:$S$2000,"Concluído",'Base Gerencial'!$O$2:$O$2000,"&lt;&gt;Apoio")</f>
        <v>0</v>
      </c>
      <c r="D81" s="26">
        <f>SUMIFS('Base Gerencial'!$T$2:$T$2000,'Base Gerencial'!$L$2:$L$2000,$A81)</f>
        <v>0</v>
      </c>
      <c r="E81" s="26">
        <f>SUMIFS('Base Gerencial'!$W$2:$W$2000,'Base Gerencial'!$L$2:$L$2000,$A81)</f>
        <v>0</v>
      </c>
    </row>
    <row r="82" spans="1:6" x14ac:dyDescent="0.35">
      <c r="A82" s="16" t="s">
        <v>136</v>
      </c>
      <c r="B82" s="25">
        <f>COUNTIFS('Base Gerencial'!$L$2:$L$2000,$A82,'Base Gerencial'!$O$2:$O$2000,"&lt;&gt;Apoio")</f>
        <v>2</v>
      </c>
      <c r="C82" s="25">
        <f>COUNTIFS('Base Gerencial'!$L$2:$L$2000,$A82,'Base Gerencial'!$S$2:$S$2000,"Concluído",'Base Gerencial'!$O$2:$O$2000,"&lt;&gt;Apoio")</f>
        <v>0</v>
      </c>
      <c r="D82" s="26">
        <f>SUMIFS('Base Gerencial'!$T$2:$T$2000,'Base Gerencial'!$L$2:$L$2000,$A82)</f>
        <v>16</v>
      </c>
      <c r="E82" s="26">
        <f>SUMIFS('Base Gerencial'!$W$2:$W$2000,'Base Gerencial'!$L$2:$L$2000,$A82)</f>
        <v>4.8</v>
      </c>
    </row>
    <row r="83" spans="1:6" x14ac:dyDescent="0.35">
      <c r="A83" s="16" t="s">
        <v>169</v>
      </c>
      <c r="B83" s="25">
        <f>COUNTIFS('Base Gerencial'!$L$2:$L$2000,$A83,'Base Gerencial'!$O$2:$O$2000,"&lt;&gt;Apoio")</f>
        <v>1</v>
      </c>
      <c r="C83" s="25">
        <f>COUNTIFS('Base Gerencial'!$L$2:$L$2000,$A83,'Base Gerencial'!$S$2:$S$2000,"Concluído",'Base Gerencial'!$O$2:$O$2000,"&lt;&gt;Apoio")</f>
        <v>1</v>
      </c>
      <c r="D83" s="26">
        <f>SUMIFS('Base Gerencial'!$T$2:$T$2000,'Base Gerencial'!$L$2:$L$2000,$A83)</f>
        <v>24</v>
      </c>
      <c r="E83" s="26">
        <f>SUMIFS('Base Gerencial'!$W$2:$W$2000,'Base Gerencial'!$L$2:$L$2000,$A83)</f>
        <v>14</v>
      </c>
    </row>
    <row r="84" spans="1:6" x14ac:dyDescent="0.35">
      <c r="A84" s="16" t="s">
        <v>335</v>
      </c>
      <c r="B84" s="25">
        <f>COUNTIFS('Base Gerencial'!$L$2:$L$2000,$A84,'Base Gerencial'!$O$2:$O$2000,"&lt;&gt;Apoio")</f>
        <v>0</v>
      </c>
      <c r="C84" s="25">
        <f>COUNTIFS('Base Gerencial'!$L$2:$L$2000,$A84,'Base Gerencial'!$S$2:$S$2000,"Concluído",'Base Gerencial'!$O$2:$O$2000,"&lt;&gt;Apoio")</f>
        <v>0</v>
      </c>
      <c r="D84" s="26">
        <f>SUMIFS('Base Gerencial'!$T$2:$T$2000,'Base Gerencial'!$L$2:$L$2000,$A84)</f>
        <v>0</v>
      </c>
      <c r="E84" s="26">
        <f>SUMIFS('Base Gerencial'!$W$2:$W$2000,'Base Gerencial'!$L$2:$L$2000,$A84)</f>
        <v>0</v>
      </c>
    </row>
    <row r="85" spans="1:6" x14ac:dyDescent="0.35">
      <c r="A85" s="16" t="s">
        <v>72</v>
      </c>
      <c r="B85" s="25">
        <f>COUNTIFS('Base Gerencial'!$L$2:$L$2000,$A85,'Base Gerencial'!$O$2:$O$2000,"&lt;&gt;Apoio")</f>
        <v>2</v>
      </c>
      <c r="C85" s="25">
        <f>COUNTIFS('Base Gerencial'!$L$2:$L$2000,$A85,'Base Gerencial'!$S$2:$S$2000,"Concluído",'Base Gerencial'!$O$2:$O$2000,"&lt;&gt;Apoio")</f>
        <v>1</v>
      </c>
      <c r="D85" s="26">
        <f>SUMIFS('Base Gerencial'!$T$2:$T$2000,'Base Gerencial'!$L$2:$L$2000,$A85)</f>
        <v>8</v>
      </c>
      <c r="E85" s="26">
        <f>SUMIFS('Base Gerencial'!$W$2:$W$2000,'Base Gerencial'!$L$2:$L$2000,$A85)</f>
        <v>59</v>
      </c>
    </row>
    <row r="86" spans="1:6" x14ac:dyDescent="0.35">
      <c r="A86" s="16" t="s">
        <v>177</v>
      </c>
      <c r="B86" s="25">
        <f>COUNTIFS('Base Gerencial'!$L$2:$L$2000,$A86,'Base Gerencial'!$O$2:$O$2000,"&lt;&gt;Apoio")</f>
        <v>0</v>
      </c>
      <c r="C86" s="25">
        <f>COUNTIFS('Base Gerencial'!$L$2:$L$2000,$A86,'Base Gerencial'!$S$2:$S$2000,"Concluído",'Base Gerencial'!$O$2:$O$2000,"&lt;&gt;Apoio")</f>
        <v>0</v>
      </c>
      <c r="D86" s="26">
        <f>SUMIFS('Base Gerencial'!$T$2:$T$2000,'Base Gerencial'!$L$2:$L$2000,$A86)</f>
        <v>0</v>
      </c>
      <c r="E86" s="26">
        <f>SUMIFS('Base Gerencial'!$W$2:$W$2000,'Base Gerencial'!$L$2:$L$2000,$A86)</f>
        <v>0</v>
      </c>
    </row>
    <row r="87" spans="1:6" x14ac:dyDescent="0.35">
      <c r="A87" s="16" t="s">
        <v>200</v>
      </c>
      <c r="B87" s="25">
        <f>COUNTIFS('Base Gerencial'!$L$2:$L$2000,$A87,'Base Gerencial'!$O$2:$O$2000,"&lt;&gt;Apoio")</f>
        <v>0</v>
      </c>
      <c r="C87" s="25">
        <f>COUNTIFS('Base Gerencial'!$L$2:$L$2000,$A87,'Base Gerencial'!$S$2:$S$2000,"Concluído",'Base Gerencial'!$O$2:$O$2000,"&lt;&gt;Apoio")</f>
        <v>0</v>
      </c>
      <c r="D87" s="26">
        <f>SUMIFS('Base Gerencial'!$T$2:$T$2000,'Base Gerencial'!$L$2:$L$2000,$A87)</f>
        <v>0</v>
      </c>
      <c r="E87" s="26">
        <f>SUMIFS('Base Gerencial'!$W$2:$W$2000,'Base Gerencial'!$L$2:$L$2000,$A87)</f>
        <v>0</v>
      </c>
    </row>
    <row r="88" spans="1:6" x14ac:dyDescent="0.35">
      <c r="A88" s="16" t="s">
        <v>336</v>
      </c>
      <c r="B88" s="25">
        <f>COUNTIFS('Base Gerencial'!$L$2:$L$2000,$A88,'Base Gerencial'!$O$2:$O$2000,"&lt;&gt;Apoio")</f>
        <v>0</v>
      </c>
      <c r="C88" s="25">
        <f>COUNTIFS('Base Gerencial'!$L$2:$L$2000,$A88,'Base Gerencial'!$S$2:$S$2000,"Concluído",'Base Gerencial'!$O$2:$O$2000,"&lt;&gt;Apoio")</f>
        <v>0</v>
      </c>
      <c r="D88" s="26">
        <f>SUMIFS('Base Gerencial'!$T$2:$T$2000,'Base Gerencial'!$L$2:$L$2000,$A88)</f>
        <v>0</v>
      </c>
      <c r="E88" s="26">
        <f>SUMIFS('Base Gerencial'!$W$2:$W$2000,'Base Gerencial'!$L$2:$L$2000,$A88)</f>
        <v>0</v>
      </c>
    </row>
    <row r="89" spans="1:6" x14ac:dyDescent="0.35">
      <c r="A89" s="16" t="s">
        <v>197</v>
      </c>
      <c r="B89" s="25">
        <f>COUNTIFS('Base Gerencial'!$L$2:$L$2000,$A89,'Base Gerencial'!$O$2:$O$2000,"&lt;&gt;Apoio")</f>
        <v>0</v>
      </c>
      <c r="C89" s="25">
        <f>COUNTIFS('Base Gerencial'!$L$2:$L$2000,$A89,'Base Gerencial'!$S$2:$S$2000,"Concluído",'Base Gerencial'!$O$2:$O$2000,"&lt;&gt;Apoio")</f>
        <v>0</v>
      </c>
      <c r="D89" s="26">
        <f>SUMIFS('Base Gerencial'!$T$2:$T$2000,'Base Gerencial'!$L$2:$L$2000,$A89)</f>
        <v>0</v>
      </c>
      <c r="E89" s="26">
        <f>SUMIFS('Base Gerencial'!$W$2:$W$2000,'Base Gerencial'!$L$2:$L$2000,$A89)</f>
        <v>0</v>
      </c>
    </row>
    <row r="90" spans="1:6" x14ac:dyDescent="0.35">
      <c r="A90" s="16" t="s">
        <v>118</v>
      </c>
      <c r="B90" s="25">
        <f>COUNTIFS('Base Gerencial'!$L$2:$L$2000,$A90,'Base Gerencial'!$O$2:$O$2000,"&lt;&gt;Apoio")</f>
        <v>1</v>
      </c>
      <c r="C90" s="25">
        <f>COUNTIFS('Base Gerencial'!$L$2:$L$2000,$A90,'Base Gerencial'!$S$2:$S$2000,"Concluído",'Base Gerencial'!$O$2:$O$2000,"&lt;&gt;Apoio")</f>
        <v>0</v>
      </c>
      <c r="D90" s="26">
        <f>SUMIFS('Base Gerencial'!$T$2:$T$2000,'Base Gerencial'!$L$2:$L$2000,$A90)</f>
        <v>8</v>
      </c>
      <c r="E90" s="26">
        <f>SUMIFS('Base Gerencial'!$W$2:$W$2000,'Base Gerencial'!$L$2:$L$2000,$A90)</f>
        <v>0</v>
      </c>
    </row>
    <row r="92" spans="1:6" ht="19.5" customHeight="1" x14ac:dyDescent="0.35">
      <c r="A92" s="32" t="s">
        <v>337</v>
      </c>
      <c r="B92" s="32"/>
      <c r="C92" s="32"/>
      <c r="D92" s="32"/>
      <c r="E92" s="32"/>
      <c r="F92" s="32"/>
    </row>
    <row r="93" spans="1:6" x14ac:dyDescent="0.35">
      <c r="A93" s="22" t="s">
        <v>338</v>
      </c>
      <c r="B93" s="14">
        <f>COUNTIFS('Base Gerencial'!$E$2:$E$2000,"Fiscal/Contábil",'Base Gerencial'!$F$2:$F$2000,"Rotina*",'Base Gerencial'!$O$2:$O$2000,"&lt;&gt;Apoio")</f>
        <v>2</v>
      </c>
    </row>
    <row r="94" spans="1:6" x14ac:dyDescent="0.35">
      <c r="A94" s="22" t="s">
        <v>339</v>
      </c>
      <c r="B94" s="14">
        <f>COUNTIFS('Base Gerencial'!$E$2:$E$2000,"Fiscal/Contábil",'Base Gerencial'!$F$2:$F$2000,"Rotina*",'Base Gerencial'!$S$2:$S$2000,"Concluído",'Base Gerencial'!$O$2:$O$2000,"&lt;&gt;Apoio")</f>
        <v>0</v>
      </c>
    </row>
    <row r="95" spans="1:6" x14ac:dyDescent="0.35">
      <c r="A95" s="22" t="s">
        <v>340</v>
      </c>
      <c r="B95" s="14">
        <f>COUNTIFS('Base Gerencial'!$E$2:$E$2000,"Fiscal/Contábil",'Base Gerencial'!$I$2:$I$2000,"Obrigação Acessória",'Base Gerencial'!$S$2:$S$2000,"Concluído",'Base Gerencial'!$O$2:$O$2000,"&lt;&gt;Apoio")</f>
        <v>1</v>
      </c>
    </row>
    <row r="96" spans="1:6" x14ac:dyDescent="0.35">
      <c r="A96" s="22" t="s">
        <v>341</v>
      </c>
      <c r="B96" s="14">
        <f>COUNTIFS('Base Gerencial'!$E$2:$E$2000,"Fiscal/Contábil",'Base Gerencial'!$H$2:$H$2000,"Melhoria Contínua",'Base Gerencial'!$S$2:$S$2000,"Concluído",'Base Gerencial'!$O$2:$O$2000,"&lt;&gt;Apoio")</f>
        <v>0</v>
      </c>
    </row>
    <row r="97" spans="1:6" x14ac:dyDescent="0.35">
      <c r="A97" s="22" t="s">
        <v>342</v>
      </c>
      <c r="B97" s="14">
        <f>COUNTIFS('Base Gerencial'!$E$2:$E$2000,"Fiscal/Contábil",'Base Gerencial'!$I$2:$I$2000,"Automação",'Base Gerencial'!$S$2:$S$2000,"Concluído",'Base Gerencial'!$O$2:$O$2000,"&lt;&gt;Apoio")</f>
        <v>0</v>
      </c>
    </row>
    <row r="98" spans="1:6" x14ac:dyDescent="0.35">
      <c r="A98" s="22" t="s">
        <v>343</v>
      </c>
      <c r="B98" s="15">
        <f>SUMIFS('Base Gerencial'!$T$2:$T$2000,'Base Gerencial'!$E$2:$E$2000,"Fiscal/Contábil")</f>
        <v>24</v>
      </c>
    </row>
    <row r="99" spans="1:6" x14ac:dyDescent="0.35">
      <c r="A99" s="22" t="s">
        <v>267</v>
      </c>
      <c r="B99" s="15">
        <f>SUMIFS('Base Gerencial'!$W$2:$W$2000,'Base Gerencial'!$E$2:$E$2000,"Fiscal/Contábil")</f>
        <v>63.8</v>
      </c>
    </row>
    <row r="101" spans="1:6" ht="19.5" customHeight="1" x14ac:dyDescent="0.35">
      <c r="A101" s="32" t="s">
        <v>344</v>
      </c>
      <c r="B101" s="32"/>
      <c r="C101" s="32"/>
      <c r="D101" s="32"/>
      <c r="E101" s="32"/>
      <c r="F101" s="32"/>
    </row>
    <row r="102" spans="1:6" x14ac:dyDescent="0.35">
      <c r="A102" s="22" t="s">
        <v>338</v>
      </c>
      <c r="B102" s="14">
        <f>COUNTIFS('Base Gerencial'!$E$2:$E$2000,"Financeiro",'Base Gerencial'!$F$2:$F$2000,"Rotina*",'Base Gerencial'!$O$2:$O$2000,"&lt;&gt;Apoio")</f>
        <v>1</v>
      </c>
    </row>
    <row r="103" spans="1:6" x14ac:dyDescent="0.35">
      <c r="A103" s="22" t="s">
        <v>339</v>
      </c>
      <c r="B103" s="14">
        <f>COUNTIFS('Base Gerencial'!$E$2:$E$2000,"Financeiro",'Base Gerencial'!$F$2:$F$2000,"Rotina*",'Base Gerencial'!$S$2:$S$2000,"Concluído",'Base Gerencial'!$O$2:$O$2000,"&lt;&gt;Apoio")</f>
        <v>1</v>
      </c>
    </row>
    <row r="104" spans="1:6" x14ac:dyDescent="0.35">
      <c r="A104" s="22" t="s">
        <v>340</v>
      </c>
      <c r="B104" s="14">
        <f>COUNTIFS('Base Gerencial'!$E$2:$E$2000,"Financeiro",'Base Gerencial'!$I$2:$I$2000,"Obrigação Acessória",'Base Gerencial'!$S$2:$S$2000,"Concluído",'Base Gerencial'!$O$2:$O$2000,"&lt;&gt;Apoio")</f>
        <v>0</v>
      </c>
    </row>
    <row r="105" spans="1:6" x14ac:dyDescent="0.35">
      <c r="A105" s="22" t="s">
        <v>341</v>
      </c>
      <c r="B105" s="14">
        <f>COUNTIFS('Base Gerencial'!$E$2:$E$2000,"Financeiro",'Base Gerencial'!$H$2:$H$2000,"Melhoria Contínua",'Base Gerencial'!$S$2:$S$2000,"Concluído",'Base Gerencial'!$O$2:$O$2000,"&lt;&gt;Apoio")</f>
        <v>0</v>
      </c>
    </row>
    <row r="106" spans="1:6" x14ac:dyDescent="0.35">
      <c r="A106" s="22" t="s">
        <v>342</v>
      </c>
      <c r="B106" s="14">
        <f>COUNTIFS('Base Gerencial'!$E$2:$E$2000,"Financeiro",'Base Gerencial'!$I$2:$I$2000,"Automação",'Base Gerencial'!$S$2:$S$2000,"Concluído",'Base Gerencial'!$O$2:$O$2000,"&lt;&gt;Apoio")</f>
        <v>2</v>
      </c>
    </row>
    <row r="107" spans="1:6" x14ac:dyDescent="0.35">
      <c r="A107" s="22" t="s">
        <v>343</v>
      </c>
      <c r="B107" s="15">
        <f>SUMIFS('Base Gerencial'!$T$2:$T$2000,'Base Gerencial'!$E$2:$E$2000,"Financeiro")</f>
        <v>48</v>
      </c>
    </row>
    <row r="108" spans="1:6" x14ac:dyDescent="0.35">
      <c r="A108" s="22" t="s">
        <v>267</v>
      </c>
      <c r="B108" s="15">
        <f>SUMIFS('Base Gerencial'!$W$2:$W$2000,'Base Gerencial'!$E$2:$E$2000,"Financeiro")</f>
        <v>86</v>
      </c>
    </row>
    <row r="109" spans="1:6" x14ac:dyDescent="0.35">
      <c r="A109" s="22" t="s">
        <v>345</v>
      </c>
      <c r="B109" s="28"/>
    </row>
    <row r="110" spans="1:6" x14ac:dyDescent="0.35">
      <c r="A110" s="22" t="s">
        <v>346</v>
      </c>
      <c r="B110" s="28"/>
    </row>
    <row r="112" spans="1:6" ht="19.5" customHeight="1" x14ac:dyDescent="0.35">
      <c r="A112" s="32" t="s">
        <v>347</v>
      </c>
      <c r="B112" s="32"/>
      <c r="C112" s="32"/>
      <c r="D112" s="32"/>
      <c r="E112" s="32"/>
      <c r="F112" s="32"/>
    </row>
    <row r="113" spans="1:6" x14ac:dyDescent="0.35">
      <c r="A113" s="1" t="s">
        <v>306</v>
      </c>
      <c r="B113" s="1" t="s">
        <v>307</v>
      </c>
      <c r="C113" s="1" t="s">
        <v>282</v>
      </c>
      <c r="D113" s="1" t="s">
        <v>299</v>
      </c>
      <c r="E113" s="1" t="s">
        <v>49</v>
      </c>
      <c r="F113" s="1" t="s">
        <v>348</v>
      </c>
    </row>
    <row r="114" spans="1:6" x14ac:dyDescent="0.35">
      <c r="A114" s="16" t="s">
        <v>66</v>
      </c>
      <c r="B114" s="25">
        <f>COUNTIFS('Base Gerencial'!$F$2:$F$2000,$A114,'Base Gerencial'!$O$2:$O$2000,"&lt;&gt;Apoio")</f>
        <v>1</v>
      </c>
      <c r="C114" s="25">
        <f>COUNTIFS('Base Gerencial'!$F$2:$F$2000,$A114,'Base Gerencial'!$S$2:$S$2000,"Concluído",'Base Gerencial'!$O$2:$O$2000,"&lt;&gt;Apoio")</f>
        <v>1</v>
      </c>
      <c r="D114" s="26">
        <f>SUMIFS('Base Gerencial'!$T$2:$T$2000,'Base Gerencial'!$F$2:$F$2000,$A114)</f>
        <v>8</v>
      </c>
      <c r="E114" s="26">
        <f>SUMIFS('Base Gerencial'!$W$2:$W$2000,'Base Gerencial'!$F$2:$F$2000,$A114)</f>
        <v>59</v>
      </c>
      <c r="F114" s="29">
        <f>SUMIFS('Base Gerencial'!$AH$2:$AH$2000,'Base Gerencial'!$F$2:$F$2000,$A114)</f>
        <v>0</v>
      </c>
    </row>
    <row r="115" spans="1:6" x14ac:dyDescent="0.35">
      <c r="A115" s="16" t="s">
        <v>130</v>
      </c>
      <c r="B115" s="25">
        <f>COUNTIFS('Base Gerencial'!$F$2:$F$2000,$A115,'Base Gerencial'!$O$2:$O$2000,"&lt;&gt;Apoio")</f>
        <v>2</v>
      </c>
      <c r="C115" s="25">
        <f>COUNTIFS('Base Gerencial'!$F$2:$F$2000,$A115,'Base Gerencial'!$S$2:$S$2000,"Concluído",'Base Gerencial'!$O$2:$O$2000,"&lt;&gt;Apoio")</f>
        <v>1</v>
      </c>
      <c r="D115" s="26">
        <f>SUMIFS('Base Gerencial'!$T$2:$T$2000,'Base Gerencial'!$F$2:$F$2000,$A115)</f>
        <v>24</v>
      </c>
      <c r="E115" s="26">
        <f>SUMIFS('Base Gerencial'!$W$2:$W$2000,'Base Gerencial'!$F$2:$F$2000,$A115)</f>
        <v>14</v>
      </c>
      <c r="F115" s="29">
        <f>SUMIFS('Base Gerencial'!$AH$2:$AH$2000,'Base Gerencial'!$F$2:$F$2000,$A115)</f>
        <v>0</v>
      </c>
    </row>
    <row r="116" spans="1:6" x14ac:dyDescent="0.35">
      <c r="A116" s="16" t="s">
        <v>88</v>
      </c>
      <c r="B116" s="25">
        <f>COUNTIFS('Base Gerencial'!$F$2:$F$2000,$A116,'Base Gerencial'!$O$2:$O$2000,"&lt;&gt;Apoio")</f>
        <v>1</v>
      </c>
      <c r="C116" s="25">
        <f>COUNTIFS('Base Gerencial'!$F$2:$F$2000,$A116,'Base Gerencial'!$S$2:$S$2000,"Concluído",'Base Gerencial'!$O$2:$O$2000,"&lt;&gt;Apoio")</f>
        <v>1</v>
      </c>
      <c r="D116" s="26">
        <f>SUMIFS('Base Gerencial'!$T$2:$T$2000,'Base Gerencial'!$F$2:$F$2000,$A116)</f>
        <v>12</v>
      </c>
      <c r="E116" s="26">
        <f>SUMIFS('Base Gerencial'!$W$2:$W$2000,'Base Gerencial'!$F$2:$F$2000,$A116)</f>
        <v>56</v>
      </c>
      <c r="F116" s="29">
        <f>SUMIFS('Base Gerencial'!$AH$2:$AH$2000,'Base Gerencial'!$F$2:$F$2000,$A116)</f>
        <v>0</v>
      </c>
    </row>
    <row r="117" spans="1:6" x14ac:dyDescent="0.35">
      <c r="A117" s="16" t="s">
        <v>112</v>
      </c>
      <c r="B117" s="25">
        <f>COUNTIFS('Base Gerencial'!$F$2:$F$2000,$A117,'Base Gerencial'!$O$2:$O$2000,"&lt;&gt;Apoio")</f>
        <v>1</v>
      </c>
      <c r="C117" s="25">
        <f>COUNTIFS('Base Gerencial'!$F$2:$F$2000,$A117,'Base Gerencial'!$S$2:$S$2000,"Concluído",'Base Gerencial'!$O$2:$O$2000,"&lt;&gt;Apoio")</f>
        <v>0</v>
      </c>
      <c r="D117" s="26">
        <f>SUMIFS('Base Gerencial'!$T$2:$T$2000,'Base Gerencial'!$F$2:$F$2000,$A117)</f>
        <v>8</v>
      </c>
      <c r="E117" s="26">
        <f>SUMIFS('Base Gerencial'!$W$2:$W$2000,'Base Gerencial'!$F$2:$F$2000,$A117)</f>
        <v>0</v>
      </c>
      <c r="F117" s="29">
        <f>SUMIFS('Base Gerencial'!$AH$2:$AH$2000,'Base Gerencial'!$F$2:$F$2000,$A117)</f>
        <v>0</v>
      </c>
    </row>
    <row r="118" spans="1:6" x14ac:dyDescent="0.35">
      <c r="A118" s="16" t="s">
        <v>144</v>
      </c>
      <c r="B118" s="25">
        <f>COUNTIFS('Base Gerencial'!$F$2:$F$2000,$A118,'Base Gerencial'!$O$2:$O$2000,"&lt;&gt;Apoio")</f>
        <v>2</v>
      </c>
      <c r="C118" s="25">
        <f>COUNTIFS('Base Gerencial'!$F$2:$F$2000,$A118,'Base Gerencial'!$S$2:$S$2000,"Concluído",'Base Gerencial'!$O$2:$O$2000,"&lt;&gt;Apoio")</f>
        <v>0</v>
      </c>
      <c r="D118" s="26">
        <f>SUMIFS('Base Gerencial'!$T$2:$T$2000,'Base Gerencial'!$F$2:$F$2000,$A118)</f>
        <v>16</v>
      </c>
      <c r="E118" s="26">
        <f>SUMIFS('Base Gerencial'!$W$2:$W$2000,'Base Gerencial'!$F$2:$F$2000,$A118)</f>
        <v>4.8</v>
      </c>
      <c r="F118" s="29">
        <f>SUMIFS('Base Gerencial'!$AH$2:$AH$2000,'Base Gerencial'!$F$2:$F$2000,$A118)</f>
        <v>0</v>
      </c>
    </row>
    <row r="119" spans="1:6" x14ac:dyDescent="0.35">
      <c r="A119" s="16" t="s">
        <v>102</v>
      </c>
      <c r="B119" s="25">
        <f>COUNTIFS('Base Gerencial'!$F$2:$F$2000,$A119,'Base Gerencial'!$O$2:$O$2000,"&lt;&gt;Apoio")</f>
        <v>1</v>
      </c>
      <c r="C119" s="25">
        <f>COUNTIFS('Base Gerencial'!$F$2:$F$2000,$A119,'Base Gerencial'!$S$2:$S$2000,"Concluído",'Base Gerencial'!$O$2:$O$2000,"&lt;&gt;Apoio")</f>
        <v>1</v>
      </c>
      <c r="D119" s="26">
        <f>SUMIFS('Base Gerencial'!$T$2:$T$2000,'Base Gerencial'!$F$2:$F$2000,$A119)</f>
        <v>12</v>
      </c>
      <c r="E119" s="26">
        <f>SUMIFS('Base Gerencial'!$W$2:$W$2000,'Base Gerencial'!$F$2:$F$2000,$A119)</f>
        <v>16</v>
      </c>
      <c r="F119" s="29">
        <f>SUMIFS('Base Gerencial'!$AH$2:$AH$2000,'Base Gerencial'!$F$2:$F$2000,$A119)</f>
        <v>8500</v>
      </c>
    </row>
    <row r="120" spans="1:6" x14ac:dyDescent="0.35">
      <c r="A120" s="16" t="s">
        <v>349</v>
      </c>
      <c r="B120" s="25">
        <f>COUNTIFS('Base Gerencial'!$F$2:$F$2000,$A120,'Base Gerencial'!$O$2:$O$2000,"&lt;&gt;Apoio")</f>
        <v>0</v>
      </c>
      <c r="C120" s="25">
        <f>COUNTIFS('Base Gerencial'!$F$2:$F$2000,$A120,'Base Gerencial'!$S$2:$S$2000,"Concluído",'Base Gerencial'!$O$2:$O$2000,"&lt;&gt;Apoio")</f>
        <v>0</v>
      </c>
      <c r="D120" s="26">
        <f>SUMIFS('Base Gerencial'!$T$2:$T$2000,'Base Gerencial'!$F$2:$F$2000,$A120)</f>
        <v>0</v>
      </c>
      <c r="E120" s="26">
        <f>SUMIFS('Base Gerencial'!$W$2:$W$2000,'Base Gerencial'!$F$2:$F$2000,$A120)</f>
        <v>0</v>
      </c>
      <c r="F120" s="29">
        <f>SUMIFS('Base Gerencial'!$AH$2:$AH$2000,'Base Gerencial'!$F$2:$F$2000,$A120)</f>
        <v>0</v>
      </c>
    </row>
    <row r="121" spans="1:6" x14ac:dyDescent="0.35">
      <c r="A121" s="16" t="s">
        <v>181</v>
      </c>
      <c r="B121" s="25">
        <f>COUNTIFS('Base Gerencial'!$F$2:$F$2000,$A121,'Base Gerencial'!$O$2:$O$2000,"&lt;&gt;Apoio")</f>
        <v>0</v>
      </c>
      <c r="C121" s="25">
        <f>COUNTIFS('Base Gerencial'!$F$2:$F$2000,$A121,'Base Gerencial'!$S$2:$S$2000,"Concluído",'Base Gerencial'!$O$2:$O$2000,"&lt;&gt;Apoio")</f>
        <v>0</v>
      </c>
      <c r="D121" s="26">
        <f>SUMIFS('Base Gerencial'!$T$2:$T$2000,'Base Gerencial'!$F$2:$F$2000,$A121)</f>
        <v>0</v>
      </c>
      <c r="E121" s="26">
        <f>SUMIFS('Base Gerencial'!$W$2:$W$2000,'Base Gerencial'!$F$2:$F$2000,$A121)</f>
        <v>0</v>
      </c>
      <c r="F121" s="29">
        <f>SUMIFS('Base Gerencial'!$AH$2:$AH$2000,'Base Gerencial'!$F$2:$F$2000,$A121)</f>
        <v>0</v>
      </c>
    </row>
    <row r="122" spans="1:6" x14ac:dyDescent="0.35">
      <c r="A122" s="16" t="s">
        <v>191</v>
      </c>
      <c r="B122" s="25">
        <f>COUNTIFS('Base Gerencial'!$F$2:$F$2000,$A122,'Base Gerencial'!$O$2:$O$2000,"&lt;&gt;Apoio")</f>
        <v>0</v>
      </c>
      <c r="C122" s="25">
        <f>COUNTIFS('Base Gerencial'!$F$2:$F$2000,$A122,'Base Gerencial'!$S$2:$S$2000,"Concluído",'Base Gerencial'!$O$2:$O$2000,"&lt;&gt;Apoio")</f>
        <v>0</v>
      </c>
      <c r="D122" s="26">
        <f>SUMIFS('Base Gerencial'!$T$2:$T$2000,'Base Gerencial'!$F$2:$F$2000,$A122)</f>
        <v>0</v>
      </c>
      <c r="E122" s="26">
        <f>SUMIFS('Base Gerencial'!$W$2:$W$2000,'Base Gerencial'!$F$2:$F$2000,$A122)</f>
        <v>0</v>
      </c>
      <c r="F122" s="29">
        <f>SUMIFS('Base Gerencial'!$AH$2:$AH$2000,'Base Gerencial'!$F$2:$F$2000,$A122)</f>
        <v>0</v>
      </c>
    </row>
    <row r="124" spans="1:6" ht="19.5" customHeight="1" x14ac:dyDescent="0.35">
      <c r="A124" s="32" t="s">
        <v>350</v>
      </c>
      <c r="B124" s="32"/>
      <c r="C124" s="32"/>
      <c r="D124" s="32"/>
      <c r="E124" s="32"/>
      <c r="F124" s="32"/>
    </row>
    <row r="125" spans="1:6" x14ac:dyDescent="0.35">
      <c r="A125" s="27" t="s">
        <v>33</v>
      </c>
      <c r="B125" s="27" t="s">
        <v>307</v>
      </c>
      <c r="C125" s="27" t="s">
        <v>282</v>
      </c>
      <c r="D125" s="27" t="s">
        <v>299</v>
      </c>
      <c r="E125" s="27" t="s">
        <v>49</v>
      </c>
    </row>
    <row r="126" spans="1:6" x14ac:dyDescent="0.35">
      <c r="A126" s="16" t="s">
        <v>67</v>
      </c>
      <c r="B126" s="25">
        <f>COUNTIFS('Base Gerencial'!$F$2:$F$2000,"Lumen",'Base Gerencial'!$G$2:$G$2000,$A126,'Base Gerencial'!$O$2:$O$2000,"&lt;&gt;Apoio")</f>
        <v>1</v>
      </c>
      <c r="C126" s="25">
        <f>COUNTIFS('Base Gerencial'!$F$2:$F$2000,"Lumen",'Base Gerencial'!$G$2:$G$2000,$A126,'Base Gerencial'!$S$2:$S$2000,"Concluído",'Base Gerencial'!$O$2:$O$2000,"&lt;&gt;Apoio")</f>
        <v>1</v>
      </c>
      <c r="D126" s="26">
        <f>SUMIFS('Base Gerencial'!$T$2:$T$2000,'Base Gerencial'!$F$2:$F$2000,"Lumen",'Base Gerencial'!$G$2:$G$2000,$A126)</f>
        <v>8</v>
      </c>
      <c r="E126" s="26">
        <f>SUMIFS('Base Gerencial'!$W$2:$W$2000,'Base Gerencial'!$F$2:$F$2000,"Lumen",'Base Gerencial'!$G$2:$G$2000,$A126)</f>
        <v>59</v>
      </c>
    </row>
    <row r="127" spans="1:6" x14ac:dyDescent="0.35">
      <c r="A127" s="16" t="s">
        <v>351</v>
      </c>
      <c r="B127" s="25">
        <f>COUNTIFS('Base Gerencial'!$F$2:$F$2000,"Lumen",'Base Gerencial'!$G$2:$G$2000,$A127,'Base Gerencial'!$O$2:$O$2000,"&lt;&gt;Apoio")</f>
        <v>0</v>
      </c>
      <c r="C127" s="25">
        <f>COUNTIFS('Base Gerencial'!$F$2:$F$2000,"Lumen",'Base Gerencial'!$G$2:$G$2000,$A127,'Base Gerencial'!$S$2:$S$2000,"Concluído",'Base Gerencial'!$O$2:$O$2000,"&lt;&gt;Apoio")</f>
        <v>0</v>
      </c>
      <c r="D127" s="26">
        <f>SUMIFS('Base Gerencial'!$T$2:$T$2000,'Base Gerencial'!$F$2:$F$2000,"Lumen",'Base Gerencial'!$G$2:$G$2000,$A127)</f>
        <v>0</v>
      </c>
      <c r="E127" s="26">
        <f>SUMIFS('Base Gerencial'!$W$2:$W$2000,'Base Gerencial'!$F$2:$F$2000,"Lumen",'Base Gerencial'!$G$2:$G$2000,$A127)</f>
        <v>0</v>
      </c>
    </row>
    <row r="128" spans="1:6" x14ac:dyDescent="0.35">
      <c r="A128" s="16" t="s">
        <v>352</v>
      </c>
      <c r="B128" s="25">
        <f>COUNTIFS('Base Gerencial'!$F$2:$F$2000,"Lumen",'Base Gerencial'!$G$2:$G$2000,$A128,'Base Gerencial'!$O$2:$O$2000,"&lt;&gt;Apoio")</f>
        <v>0</v>
      </c>
      <c r="C128" s="25">
        <f>COUNTIFS('Base Gerencial'!$F$2:$F$2000,"Lumen",'Base Gerencial'!$G$2:$G$2000,$A128,'Base Gerencial'!$S$2:$S$2000,"Concluído",'Base Gerencial'!$O$2:$O$2000,"&lt;&gt;Apoio")</f>
        <v>0</v>
      </c>
      <c r="D128" s="26">
        <f>SUMIFS('Base Gerencial'!$T$2:$T$2000,'Base Gerencial'!$F$2:$F$2000,"Lumen",'Base Gerencial'!$G$2:$G$2000,$A128)</f>
        <v>0</v>
      </c>
      <c r="E128" s="26">
        <f>SUMIFS('Base Gerencial'!$W$2:$W$2000,'Base Gerencial'!$F$2:$F$2000,"Lumen",'Base Gerencial'!$G$2:$G$2000,$A128)</f>
        <v>0</v>
      </c>
    </row>
    <row r="129" spans="1:6" x14ac:dyDescent="0.35">
      <c r="A129" s="16" t="s">
        <v>353</v>
      </c>
      <c r="B129" s="25">
        <f>COUNTIFS('Base Gerencial'!$F$2:$F$2000,"Lumen",'Base Gerencial'!$G$2:$G$2000,$A129,'Base Gerencial'!$O$2:$O$2000,"&lt;&gt;Apoio")</f>
        <v>0</v>
      </c>
      <c r="C129" s="25">
        <f>COUNTIFS('Base Gerencial'!$F$2:$F$2000,"Lumen",'Base Gerencial'!$G$2:$G$2000,$A129,'Base Gerencial'!$S$2:$S$2000,"Concluído",'Base Gerencial'!$O$2:$O$2000,"&lt;&gt;Apoio")</f>
        <v>0</v>
      </c>
      <c r="D129" s="26">
        <f>SUMIFS('Base Gerencial'!$T$2:$T$2000,'Base Gerencial'!$F$2:$F$2000,"Lumen",'Base Gerencial'!$G$2:$G$2000,$A129)</f>
        <v>0</v>
      </c>
      <c r="E129" s="26">
        <f>SUMIFS('Base Gerencial'!$W$2:$W$2000,'Base Gerencial'!$F$2:$F$2000,"Lumen",'Base Gerencial'!$G$2:$G$2000,$A129)</f>
        <v>0</v>
      </c>
    </row>
    <row r="130" spans="1:6" x14ac:dyDescent="0.35">
      <c r="A130" s="16" t="s">
        <v>174</v>
      </c>
      <c r="B130" s="25">
        <f>COUNTIFS('Base Gerencial'!$F$2:$F$2000,"Lumen",'Base Gerencial'!$G$2:$G$2000,$A130,'Base Gerencial'!$O$2:$O$2000,"&lt;&gt;Apoio")</f>
        <v>0</v>
      </c>
      <c r="C130" s="25">
        <f>COUNTIFS('Base Gerencial'!$F$2:$F$2000,"Lumen",'Base Gerencial'!$G$2:$G$2000,$A130,'Base Gerencial'!$S$2:$S$2000,"Concluído",'Base Gerencial'!$O$2:$O$2000,"&lt;&gt;Apoio")</f>
        <v>0</v>
      </c>
      <c r="D130" s="26">
        <f>SUMIFS('Base Gerencial'!$T$2:$T$2000,'Base Gerencial'!$F$2:$F$2000,"Lumen",'Base Gerencial'!$G$2:$G$2000,$A130)</f>
        <v>0</v>
      </c>
      <c r="E130" s="26">
        <f>SUMIFS('Base Gerencial'!$W$2:$W$2000,'Base Gerencial'!$F$2:$F$2000,"Lumen",'Base Gerencial'!$G$2:$G$2000,$A130)</f>
        <v>0</v>
      </c>
    </row>
    <row r="131" spans="1:6" x14ac:dyDescent="0.35">
      <c r="A131" s="16" t="s">
        <v>354</v>
      </c>
      <c r="B131" s="25">
        <f>COUNTIFS('Base Gerencial'!$F$2:$F$2000,"Lumen",'Base Gerencial'!$G$2:$G$2000,$A131,'Base Gerencial'!$O$2:$O$2000,"&lt;&gt;Apoio")</f>
        <v>0</v>
      </c>
      <c r="C131" s="25">
        <f>COUNTIFS('Base Gerencial'!$F$2:$F$2000,"Lumen",'Base Gerencial'!$G$2:$G$2000,$A131,'Base Gerencial'!$S$2:$S$2000,"Concluído",'Base Gerencial'!$O$2:$O$2000,"&lt;&gt;Apoio")</f>
        <v>0</v>
      </c>
      <c r="D131" s="26">
        <f>SUMIFS('Base Gerencial'!$T$2:$T$2000,'Base Gerencial'!$F$2:$F$2000,"Lumen",'Base Gerencial'!$G$2:$G$2000,$A131)</f>
        <v>0</v>
      </c>
      <c r="E131" s="26">
        <f>SUMIFS('Base Gerencial'!$W$2:$W$2000,'Base Gerencial'!$F$2:$F$2000,"Lumen",'Base Gerencial'!$G$2:$G$2000,$A131)</f>
        <v>0</v>
      </c>
    </row>
    <row r="132" spans="1:6" x14ac:dyDescent="0.35">
      <c r="A132" s="16" t="s">
        <v>355</v>
      </c>
      <c r="B132" s="25">
        <f>COUNTIFS('Base Gerencial'!$F$2:$F$2000,"Lumen",'Base Gerencial'!$G$2:$G$2000,$A132,'Base Gerencial'!$O$2:$O$2000,"&lt;&gt;Apoio")</f>
        <v>0</v>
      </c>
      <c r="C132" s="25">
        <f>COUNTIFS('Base Gerencial'!$F$2:$F$2000,"Lumen",'Base Gerencial'!$G$2:$G$2000,$A132,'Base Gerencial'!$S$2:$S$2000,"Concluído",'Base Gerencial'!$O$2:$O$2000,"&lt;&gt;Apoio")</f>
        <v>0</v>
      </c>
      <c r="D132" s="26">
        <f>SUMIFS('Base Gerencial'!$T$2:$T$2000,'Base Gerencial'!$F$2:$F$2000,"Lumen",'Base Gerencial'!$G$2:$G$2000,$A132)</f>
        <v>0</v>
      </c>
      <c r="E132" s="26">
        <f>SUMIFS('Base Gerencial'!$W$2:$W$2000,'Base Gerencial'!$F$2:$F$2000,"Lumen",'Base Gerencial'!$G$2:$G$2000,$A132)</f>
        <v>0</v>
      </c>
    </row>
    <row r="133" spans="1:6" x14ac:dyDescent="0.35">
      <c r="A133" s="16" t="s">
        <v>356</v>
      </c>
      <c r="B133" s="25">
        <f>COUNTIFS('Base Gerencial'!$F$2:$F$2000,"Lumen",'Base Gerencial'!$G$2:$G$2000,$A133,'Base Gerencial'!$O$2:$O$2000,"&lt;&gt;Apoio")</f>
        <v>0</v>
      </c>
      <c r="C133" s="25">
        <f>COUNTIFS('Base Gerencial'!$F$2:$F$2000,"Lumen",'Base Gerencial'!$G$2:$G$2000,$A133,'Base Gerencial'!$S$2:$S$2000,"Concluído",'Base Gerencial'!$O$2:$O$2000,"&lt;&gt;Apoio")</f>
        <v>0</v>
      </c>
      <c r="D133" s="26">
        <f>SUMIFS('Base Gerencial'!$T$2:$T$2000,'Base Gerencial'!$F$2:$F$2000,"Lumen",'Base Gerencial'!$G$2:$G$2000,$A133)</f>
        <v>0</v>
      </c>
      <c r="E133" s="26">
        <f>SUMIFS('Base Gerencial'!$W$2:$W$2000,'Base Gerencial'!$F$2:$F$2000,"Lumen",'Base Gerencial'!$G$2:$G$2000,$A133)</f>
        <v>0</v>
      </c>
    </row>
    <row r="134" spans="1:6" x14ac:dyDescent="0.35">
      <c r="A134" s="16" t="s">
        <v>357</v>
      </c>
      <c r="B134" s="25">
        <f>COUNTIFS('Base Gerencial'!$F$2:$F$2000,"Lumen",'Base Gerencial'!$G$2:$G$2000,$A134,'Base Gerencial'!$O$2:$O$2000,"&lt;&gt;Apoio")</f>
        <v>0</v>
      </c>
      <c r="C134" s="25">
        <f>COUNTIFS('Base Gerencial'!$F$2:$F$2000,"Lumen",'Base Gerencial'!$G$2:$G$2000,$A134,'Base Gerencial'!$S$2:$S$2000,"Concluído",'Base Gerencial'!$O$2:$O$2000,"&lt;&gt;Apoio")</f>
        <v>0</v>
      </c>
      <c r="D134" s="26">
        <f>SUMIFS('Base Gerencial'!$T$2:$T$2000,'Base Gerencial'!$F$2:$F$2000,"Lumen",'Base Gerencial'!$G$2:$G$2000,$A134)</f>
        <v>0</v>
      </c>
      <c r="E134" s="26">
        <f>SUMIFS('Base Gerencial'!$W$2:$W$2000,'Base Gerencial'!$F$2:$F$2000,"Lumen",'Base Gerencial'!$G$2:$G$2000,$A134)</f>
        <v>0</v>
      </c>
    </row>
    <row r="135" spans="1:6" x14ac:dyDescent="0.35">
      <c r="A135" s="16" t="s">
        <v>358</v>
      </c>
      <c r="B135" s="25">
        <f>COUNTIFS('Base Gerencial'!$F$2:$F$2000,"Lumen",'Base Gerencial'!$G$2:$G$2000,$A135,'Base Gerencial'!$O$2:$O$2000,"&lt;&gt;Apoio")</f>
        <v>0</v>
      </c>
      <c r="C135" s="25">
        <f>COUNTIFS('Base Gerencial'!$F$2:$F$2000,"Lumen",'Base Gerencial'!$G$2:$G$2000,$A135,'Base Gerencial'!$S$2:$S$2000,"Concluído",'Base Gerencial'!$O$2:$O$2000,"&lt;&gt;Apoio")</f>
        <v>0</v>
      </c>
      <c r="D135" s="26">
        <f>SUMIFS('Base Gerencial'!$T$2:$T$2000,'Base Gerencial'!$F$2:$F$2000,"Lumen",'Base Gerencial'!$G$2:$G$2000,$A135)</f>
        <v>0</v>
      </c>
      <c r="E135" s="26">
        <f>SUMIFS('Base Gerencial'!$W$2:$W$2000,'Base Gerencial'!$F$2:$F$2000,"Lumen",'Base Gerencial'!$G$2:$G$2000,$A135)</f>
        <v>0</v>
      </c>
    </row>
    <row r="136" spans="1:6" x14ac:dyDescent="0.35">
      <c r="A136" s="16" t="s">
        <v>359</v>
      </c>
      <c r="B136" s="25">
        <f>COUNTIFS('Base Gerencial'!$F$2:$F$2000,"Lumen",'Base Gerencial'!$G$2:$G$2000,$A136,'Base Gerencial'!$O$2:$O$2000,"&lt;&gt;Apoio")</f>
        <v>0</v>
      </c>
      <c r="C136" s="25">
        <f>COUNTIFS('Base Gerencial'!$F$2:$F$2000,"Lumen",'Base Gerencial'!$G$2:$G$2000,$A136,'Base Gerencial'!$S$2:$S$2000,"Concluído",'Base Gerencial'!$O$2:$O$2000,"&lt;&gt;Apoio")</f>
        <v>0</v>
      </c>
      <c r="D136" s="26">
        <f>SUMIFS('Base Gerencial'!$T$2:$T$2000,'Base Gerencial'!$F$2:$F$2000,"Lumen",'Base Gerencial'!$G$2:$G$2000,$A136)</f>
        <v>0</v>
      </c>
      <c r="E136" s="26">
        <f>SUMIFS('Base Gerencial'!$W$2:$W$2000,'Base Gerencial'!$F$2:$F$2000,"Lumen",'Base Gerencial'!$G$2:$G$2000,$A136)</f>
        <v>0</v>
      </c>
    </row>
    <row r="137" spans="1:6" x14ac:dyDescent="0.35">
      <c r="A137" s="16" t="s">
        <v>360</v>
      </c>
      <c r="B137" s="25">
        <f>COUNTIFS('Base Gerencial'!$F$2:$F$2000,"Lumen",'Base Gerencial'!$G$2:$G$2000,$A137,'Base Gerencial'!$O$2:$O$2000,"&lt;&gt;Apoio")</f>
        <v>0</v>
      </c>
      <c r="C137" s="25">
        <f>COUNTIFS('Base Gerencial'!$F$2:$F$2000,"Lumen",'Base Gerencial'!$G$2:$G$2000,$A137,'Base Gerencial'!$S$2:$S$2000,"Concluído",'Base Gerencial'!$O$2:$O$2000,"&lt;&gt;Apoio")</f>
        <v>0</v>
      </c>
      <c r="D137" s="26">
        <f>SUMIFS('Base Gerencial'!$T$2:$T$2000,'Base Gerencial'!$F$2:$F$2000,"Lumen",'Base Gerencial'!$G$2:$G$2000,$A137)</f>
        <v>0</v>
      </c>
      <c r="E137" s="26">
        <f>SUMIFS('Base Gerencial'!$W$2:$W$2000,'Base Gerencial'!$F$2:$F$2000,"Lumen",'Base Gerencial'!$G$2:$G$2000,$A137)</f>
        <v>0</v>
      </c>
    </row>
    <row r="138" spans="1:6" x14ac:dyDescent="0.35">
      <c r="A138" s="16" t="s">
        <v>361</v>
      </c>
      <c r="B138" s="25">
        <f>COUNTIFS('Base Gerencial'!$F$2:$F$2000,"Lumen",'Base Gerencial'!$G$2:$G$2000,$A138,'Base Gerencial'!$O$2:$O$2000,"&lt;&gt;Apoio")</f>
        <v>0</v>
      </c>
      <c r="C138" s="25">
        <f>COUNTIFS('Base Gerencial'!$F$2:$F$2000,"Lumen",'Base Gerencial'!$G$2:$G$2000,$A138,'Base Gerencial'!$S$2:$S$2000,"Concluído",'Base Gerencial'!$O$2:$O$2000,"&lt;&gt;Apoio")</f>
        <v>0</v>
      </c>
      <c r="D138" s="26">
        <f>SUMIFS('Base Gerencial'!$T$2:$T$2000,'Base Gerencial'!$F$2:$F$2000,"Lumen",'Base Gerencial'!$G$2:$G$2000,$A138)</f>
        <v>0</v>
      </c>
      <c r="E138" s="26">
        <f>SUMIFS('Base Gerencial'!$W$2:$W$2000,'Base Gerencial'!$F$2:$F$2000,"Lumen",'Base Gerencial'!$G$2:$G$2000,$A138)</f>
        <v>0</v>
      </c>
    </row>
    <row r="139" spans="1:6" x14ac:dyDescent="0.35">
      <c r="A139" s="16" t="s">
        <v>362</v>
      </c>
      <c r="B139" s="25">
        <f>COUNTIFS('Base Gerencial'!$F$2:$F$2000,"Lumen",'Base Gerencial'!$G$2:$G$2000,$A139,'Base Gerencial'!$O$2:$O$2000,"&lt;&gt;Apoio")</f>
        <v>0</v>
      </c>
      <c r="C139" s="25">
        <f>COUNTIFS('Base Gerencial'!$F$2:$F$2000,"Lumen",'Base Gerencial'!$G$2:$G$2000,$A139,'Base Gerencial'!$S$2:$S$2000,"Concluído",'Base Gerencial'!$O$2:$O$2000,"&lt;&gt;Apoio")</f>
        <v>0</v>
      </c>
      <c r="D139" s="26">
        <f>SUMIFS('Base Gerencial'!$T$2:$T$2000,'Base Gerencial'!$F$2:$F$2000,"Lumen",'Base Gerencial'!$G$2:$G$2000,$A139)</f>
        <v>0</v>
      </c>
      <c r="E139" s="26">
        <f>SUMIFS('Base Gerencial'!$W$2:$W$2000,'Base Gerencial'!$F$2:$F$2000,"Lumen",'Base Gerencial'!$G$2:$G$2000,$A139)</f>
        <v>0</v>
      </c>
    </row>
    <row r="141" spans="1:6" ht="19.5" customHeight="1" x14ac:dyDescent="0.35">
      <c r="A141" s="32" t="s">
        <v>363</v>
      </c>
      <c r="B141" s="32"/>
      <c r="C141" s="32"/>
      <c r="D141" s="32"/>
      <c r="E141" s="32"/>
      <c r="F141" s="32"/>
    </row>
    <row r="142" spans="1:6" x14ac:dyDescent="0.35">
      <c r="A142" s="27" t="s">
        <v>33</v>
      </c>
      <c r="B142" s="27" t="s">
        <v>307</v>
      </c>
      <c r="C142" s="27" t="s">
        <v>282</v>
      </c>
      <c r="D142" s="27" t="s">
        <v>299</v>
      </c>
      <c r="E142" s="27" t="s">
        <v>49</v>
      </c>
    </row>
    <row r="143" spans="1:6" x14ac:dyDescent="0.35">
      <c r="A143" s="16" t="s">
        <v>195</v>
      </c>
      <c r="B143" s="25">
        <f>COUNTIFS('Base Gerencial'!$F$2:$F$2000,"V360",'Base Gerencial'!$G$2:$G$2000,$A143,'Base Gerencial'!$O$2:$O$2000,"&lt;&gt;Apoio")</f>
        <v>0</v>
      </c>
      <c r="C143" s="25">
        <f>COUNTIFS('Base Gerencial'!$F$2:$F$2000,"V360",'Base Gerencial'!$G$2:$G$2000,$A143,'Base Gerencial'!$S$2:$S$2000,"Concluído",'Base Gerencial'!$O$2:$O$2000,"&lt;&gt;Apoio")</f>
        <v>0</v>
      </c>
      <c r="D143" s="26">
        <f>SUMIFS('Base Gerencial'!$T$2:$T$2000,'Base Gerencial'!$F$2:$F$2000,"V360",'Base Gerencial'!$G$2:$G$2000,$A143)</f>
        <v>0</v>
      </c>
      <c r="E143" s="26">
        <f>SUMIFS('Base Gerencial'!$W$2:$W$2000,'Base Gerencial'!$F$2:$F$2000,"V360",'Base Gerencial'!$G$2:$G$2000,$A143)</f>
        <v>0</v>
      </c>
    </row>
    <row r="144" spans="1:6" x14ac:dyDescent="0.35">
      <c r="A144" s="16" t="s">
        <v>164</v>
      </c>
      <c r="B144" s="25">
        <f>COUNTIFS('Base Gerencial'!$F$2:$F$2000,"V360",'Base Gerencial'!$G$2:$G$2000,$A144,'Base Gerencial'!$O$2:$O$2000,"&lt;&gt;Apoio")</f>
        <v>1</v>
      </c>
      <c r="C144" s="25">
        <f>COUNTIFS('Base Gerencial'!$F$2:$F$2000,"V360",'Base Gerencial'!$G$2:$G$2000,$A144,'Base Gerencial'!$S$2:$S$2000,"Concluído",'Base Gerencial'!$O$2:$O$2000,"&lt;&gt;Apoio")</f>
        <v>1</v>
      </c>
      <c r="D144" s="26">
        <f>SUMIFS('Base Gerencial'!$T$2:$T$2000,'Base Gerencial'!$F$2:$F$2000,"V360",'Base Gerencial'!$G$2:$G$2000,$A144)</f>
        <v>24</v>
      </c>
      <c r="E144" s="26">
        <f>SUMIFS('Base Gerencial'!$W$2:$W$2000,'Base Gerencial'!$F$2:$F$2000,"V360",'Base Gerencial'!$G$2:$G$2000,$A144)</f>
        <v>14</v>
      </c>
    </row>
    <row r="145" spans="1:6" x14ac:dyDescent="0.35">
      <c r="A145" s="16" t="s">
        <v>131</v>
      </c>
      <c r="B145" s="25">
        <f>COUNTIFS('Base Gerencial'!$F$2:$F$2000,"V360",'Base Gerencial'!$G$2:$G$2000,$A145,'Base Gerencial'!$O$2:$O$2000,"&lt;&gt;Apoio")</f>
        <v>1</v>
      </c>
      <c r="C145" s="25">
        <f>COUNTIFS('Base Gerencial'!$F$2:$F$2000,"V360",'Base Gerencial'!$G$2:$G$2000,$A145,'Base Gerencial'!$S$2:$S$2000,"Concluído",'Base Gerencial'!$O$2:$O$2000,"&lt;&gt;Apoio")</f>
        <v>0</v>
      </c>
      <c r="D145" s="26">
        <f>SUMIFS('Base Gerencial'!$T$2:$T$2000,'Base Gerencial'!$F$2:$F$2000,"V360",'Base Gerencial'!$G$2:$G$2000,$A145)</f>
        <v>0</v>
      </c>
      <c r="E145" s="26">
        <f>SUMIFS('Base Gerencial'!$W$2:$W$2000,'Base Gerencial'!$F$2:$F$2000,"V360",'Base Gerencial'!$G$2:$G$2000,$A145)</f>
        <v>0</v>
      </c>
    </row>
    <row r="147" spans="1:6" ht="19.5" customHeight="1" x14ac:dyDescent="0.35">
      <c r="A147" s="32" t="s">
        <v>364</v>
      </c>
      <c r="B147" s="32"/>
      <c r="C147" s="32"/>
      <c r="D147" s="32"/>
      <c r="E147" s="32"/>
      <c r="F147" s="32"/>
    </row>
    <row r="148" spans="1:6" x14ac:dyDescent="0.35">
      <c r="A148" s="27" t="s">
        <v>33</v>
      </c>
      <c r="B148" s="27" t="s">
        <v>307</v>
      </c>
      <c r="C148" s="27" t="s">
        <v>282</v>
      </c>
      <c r="D148" s="27" t="s">
        <v>299</v>
      </c>
      <c r="E148" s="27" t="s">
        <v>49</v>
      </c>
    </row>
    <row r="149" spans="1:6" x14ac:dyDescent="0.35">
      <c r="A149" s="16" t="s">
        <v>89</v>
      </c>
      <c r="B149" s="25">
        <f>COUNTIFS('Base Gerencial'!$F$2:$F$2000,"Saneamento Base Contábil",'Base Gerencial'!$G$2:$G$2000,$A149,'Base Gerencial'!$O$2:$O$2000,"&lt;&gt;Apoio")</f>
        <v>1</v>
      </c>
      <c r="C149" s="25">
        <f>COUNTIFS('Base Gerencial'!$F$2:$F$2000,"Saneamento Base Contábil",'Base Gerencial'!$G$2:$G$2000,$A149,'Base Gerencial'!$S$2:$S$2000,"Concluído",'Base Gerencial'!$O$2:$O$2000,"&lt;&gt;Apoio")</f>
        <v>1</v>
      </c>
      <c r="D149" s="26">
        <f>SUMIFS('Base Gerencial'!$T$2:$T$2000,'Base Gerencial'!$F$2:$F$2000,"Saneamento Base Contábil",'Base Gerencial'!$G$2:$G$2000,$A149)</f>
        <v>12</v>
      </c>
      <c r="E149" s="26">
        <f>SUMIFS('Base Gerencial'!$W$2:$W$2000,'Base Gerencial'!$F$2:$F$2000,"Saneamento Base Contábil",'Base Gerencial'!$G$2:$G$2000,$A149)</f>
        <v>56</v>
      </c>
    </row>
    <row r="150" spans="1:6" x14ac:dyDescent="0.35">
      <c r="A150" s="16" t="s">
        <v>199</v>
      </c>
      <c r="B150" s="25">
        <f>COUNTIFS('Base Gerencial'!$F$2:$F$2000,"Saneamento Base Contábil",'Base Gerencial'!$G$2:$G$2000,$A150,'Base Gerencial'!$O$2:$O$2000,"&lt;&gt;Apoio")</f>
        <v>0</v>
      </c>
      <c r="C150" s="25">
        <f>COUNTIFS('Base Gerencial'!$F$2:$F$2000,"Saneamento Base Contábil",'Base Gerencial'!$G$2:$G$2000,$A150,'Base Gerencial'!$S$2:$S$2000,"Concluído",'Base Gerencial'!$O$2:$O$2000,"&lt;&gt;Apoio")</f>
        <v>0</v>
      </c>
      <c r="D150" s="26">
        <f>SUMIFS('Base Gerencial'!$T$2:$T$2000,'Base Gerencial'!$F$2:$F$2000,"Saneamento Base Contábil",'Base Gerencial'!$G$2:$G$2000,$A150)</f>
        <v>0</v>
      </c>
      <c r="E150" s="26">
        <f>SUMIFS('Base Gerencial'!$W$2:$W$2000,'Base Gerencial'!$F$2:$F$2000,"Saneamento Base Contábil",'Base Gerencial'!$G$2:$G$2000,$A150)</f>
        <v>0</v>
      </c>
    </row>
    <row r="151" spans="1:6" x14ac:dyDescent="0.35">
      <c r="A151" s="16" t="s">
        <v>365</v>
      </c>
      <c r="B151" s="25">
        <f>COUNTIFS('Base Gerencial'!$F$2:$F$2000,"Saneamento Base Contábil",'Base Gerencial'!$G$2:$G$2000,$A151,'Base Gerencial'!$O$2:$O$2000,"&lt;&gt;Apoio")</f>
        <v>0</v>
      </c>
      <c r="C151" s="25">
        <f>COUNTIFS('Base Gerencial'!$F$2:$F$2000,"Saneamento Base Contábil",'Base Gerencial'!$G$2:$G$2000,$A151,'Base Gerencial'!$S$2:$S$2000,"Concluído",'Base Gerencial'!$O$2:$O$2000,"&lt;&gt;Apoio")</f>
        <v>0</v>
      </c>
      <c r="D151" s="26">
        <f>SUMIFS('Base Gerencial'!$T$2:$T$2000,'Base Gerencial'!$F$2:$F$2000,"Saneamento Base Contábil",'Base Gerencial'!$G$2:$G$2000,$A151)</f>
        <v>0</v>
      </c>
      <c r="E151" s="26">
        <f>SUMIFS('Base Gerencial'!$W$2:$W$2000,'Base Gerencial'!$F$2:$F$2000,"Saneamento Base Contábil",'Base Gerencial'!$G$2:$G$2000,$A151)</f>
        <v>0</v>
      </c>
    </row>
    <row r="153" spans="1:6" ht="19.5" customHeight="1" x14ac:dyDescent="0.35">
      <c r="A153" s="32" t="s">
        <v>366</v>
      </c>
      <c r="B153" s="32"/>
      <c r="C153" s="32"/>
      <c r="D153" s="32"/>
      <c r="E153" s="32"/>
      <c r="F153" s="32"/>
    </row>
    <row r="154" spans="1:6" x14ac:dyDescent="0.35">
      <c r="A154" s="27" t="s">
        <v>33</v>
      </c>
      <c r="B154" s="27" t="s">
        <v>307</v>
      </c>
      <c r="C154" s="27" t="s">
        <v>282</v>
      </c>
      <c r="D154" s="27" t="s">
        <v>299</v>
      </c>
      <c r="E154" s="27" t="s">
        <v>49</v>
      </c>
    </row>
    <row r="155" spans="1:6" x14ac:dyDescent="0.35">
      <c r="A155" s="16" t="s">
        <v>113</v>
      </c>
      <c r="B155" s="25">
        <f>COUNTIFS('Base Gerencial'!$F$2:$F$2000,"Newsletter",'Base Gerencial'!$G$2:$G$2000,$A155,'Base Gerencial'!$O$2:$O$2000,"&lt;&gt;Apoio")</f>
        <v>1</v>
      </c>
      <c r="C155" s="25">
        <f>COUNTIFS('Base Gerencial'!$F$2:$F$2000,"Newsletter",'Base Gerencial'!$G$2:$G$2000,$A155,'Base Gerencial'!$S$2:$S$2000,"Concluído",'Base Gerencial'!$O$2:$O$2000,"&lt;&gt;Apoio")</f>
        <v>0</v>
      </c>
      <c r="D155" s="26">
        <f>SUMIFS('Base Gerencial'!$T$2:$T$2000,'Base Gerencial'!$F$2:$F$2000,"Newsletter",'Base Gerencial'!$G$2:$G$2000,$A155)</f>
        <v>8</v>
      </c>
      <c r="E155" s="26">
        <f>SUMIFS('Base Gerencial'!$W$2:$W$2000,'Base Gerencial'!$F$2:$F$2000,"Newsletter",'Base Gerencial'!$G$2:$G$2000,$A155)</f>
        <v>0</v>
      </c>
    </row>
    <row r="156" spans="1:6" x14ac:dyDescent="0.35">
      <c r="A156" s="16" t="s">
        <v>188</v>
      </c>
      <c r="B156" s="25">
        <f>COUNTIFS('Base Gerencial'!$F$2:$F$2000,"Newsletter",'Base Gerencial'!$G$2:$G$2000,$A156,'Base Gerencial'!$O$2:$O$2000,"&lt;&gt;Apoio")</f>
        <v>0</v>
      </c>
      <c r="C156" s="25">
        <f>COUNTIFS('Base Gerencial'!$F$2:$F$2000,"Newsletter",'Base Gerencial'!$G$2:$G$2000,$A156,'Base Gerencial'!$S$2:$S$2000,"Concluído",'Base Gerencial'!$O$2:$O$2000,"&lt;&gt;Apoio")</f>
        <v>0</v>
      </c>
      <c r="D156" s="26">
        <f>SUMIFS('Base Gerencial'!$T$2:$T$2000,'Base Gerencial'!$F$2:$F$2000,"Newsletter",'Base Gerencial'!$G$2:$G$2000,$A156)</f>
        <v>0</v>
      </c>
      <c r="E156" s="26">
        <f>SUMIFS('Base Gerencial'!$W$2:$W$2000,'Base Gerencial'!$F$2:$F$2000,"Newsletter",'Base Gerencial'!$G$2:$G$2000,$A156)</f>
        <v>0</v>
      </c>
    </row>
    <row r="157" spans="1:6" x14ac:dyDescent="0.35">
      <c r="A157" s="16" t="s">
        <v>367</v>
      </c>
      <c r="B157" s="25">
        <f>COUNTIFS('Base Gerencial'!$F$2:$F$2000,"Newsletter",'Base Gerencial'!$G$2:$G$2000,$A157,'Base Gerencial'!$O$2:$O$2000,"&lt;&gt;Apoio")</f>
        <v>0</v>
      </c>
      <c r="C157" s="25">
        <f>COUNTIFS('Base Gerencial'!$F$2:$F$2000,"Newsletter",'Base Gerencial'!$G$2:$G$2000,$A157,'Base Gerencial'!$S$2:$S$2000,"Concluído",'Base Gerencial'!$O$2:$O$2000,"&lt;&gt;Apoio")</f>
        <v>0</v>
      </c>
      <c r="D157" s="26">
        <f>SUMIFS('Base Gerencial'!$T$2:$T$2000,'Base Gerencial'!$F$2:$F$2000,"Newsletter",'Base Gerencial'!$G$2:$G$2000,$A157)</f>
        <v>0</v>
      </c>
      <c r="E157" s="26">
        <f>SUMIFS('Base Gerencial'!$W$2:$W$2000,'Base Gerencial'!$F$2:$F$2000,"Newsletter",'Base Gerencial'!$G$2:$G$2000,$A157)</f>
        <v>0</v>
      </c>
    </row>
    <row r="158" spans="1:6" x14ac:dyDescent="0.35">
      <c r="A158" s="16" t="s">
        <v>368</v>
      </c>
      <c r="B158" s="25">
        <f>COUNTIFS('Base Gerencial'!$F$2:$F$2000,"Newsletter",'Base Gerencial'!$G$2:$G$2000,$A158,'Base Gerencial'!$O$2:$O$2000,"&lt;&gt;Apoio")</f>
        <v>0</v>
      </c>
      <c r="C158" s="25">
        <f>COUNTIFS('Base Gerencial'!$F$2:$F$2000,"Newsletter",'Base Gerencial'!$G$2:$G$2000,$A158,'Base Gerencial'!$S$2:$S$2000,"Concluído",'Base Gerencial'!$O$2:$O$2000,"&lt;&gt;Apoio")</f>
        <v>0</v>
      </c>
      <c r="D158" s="26">
        <f>SUMIFS('Base Gerencial'!$T$2:$T$2000,'Base Gerencial'!$F$2:$F$2000,"Newsletter",'Base Gerencial'!$G$2:$G$2000,$A158)</f>
        <v>0</v>
      </c>
      <c r="E158" s="26">
        <f>SUMIFS('Base Gerencial'!$W$2:$W$2000,'Base Gerencial'!$F$2:$F$2000,"Newsletter",'Base Gerencial'!$G$2:$G$2000,$A158)</f>
        <v>0</v>
      </c>
    </row>
    <row r="159" spans="1:6" x14ac:dyDescent="0.35">
      <c r="A159" s="16" t="s">
        <v>369</v>
      </c>
      <c r="B159" s="25">
        <f>COUNTIFS('Base Gerencial'!$F$2:$F$2000,"Newsletter",'Base Gerencial'!$G$2:$G$2000,$A159,'Base Gerencial'!$O$2:$O$2000,"&lt;&gt;Apoio")</f>
        <v>0</v>
      </c>
      <c r="C159" s="25">
        <f>COUNTIFS('Base Gerencial'!$F$2:$F$2000,"Newsletter",'Base Gerencial'!$G$2:$G$2000,$A159,'Base Gerencial'!$S$2:$S$2000,"Concluído",'Base Gerencial'!$O$2:$O$2000,"&lt;&gt;Apoio")</f>
        <v>0</v>
      </c>
      <c r="D159" s="26">
        <f>SUMIFS('Base Gerencial'!$T$2:$T$2000,'Base Gerencial'!$F$2:$F$2000,"Newsletter",'Base Gerencial'!$G$2:$G$2000,$A159)</f>
        <v>0</v>
      </c>
      <c r="E159" s="26">
        <f>SUMIFS('Base Gerencial'!$W$2:$W$2000,'Base Gerencial'!$F$2:$F$2000,"Newsletter",'Base Gerencial'!$G$2:$G$2000,$A159)</f>
        <v>0</v>
      </c>
    </row>
    <row r="160" spans="1:6" x14ac:dyDescent="0.35">
      <c r="A160" s="16" t="s">
        <v>370</v>
      </c>
      <c r="B160" s="25">
        <f>COUNTIFS('Base Gerencial'!$F$2:$F$2000,"Newsletter",'Base Gerencial'!$G$2:$G$2000,$A160,'Base Gerencial'!$O$2:$O$2000,"&lt;&gt;Apoio")</f>
        <v>0</v>
      </c>
      <c r="C160" s="25">
        <f>COUNTIFS('Base Gerencial'!$F$2:$F$2000,"Newsletter",'Base Gerencial'!$G$2:$G$2000,$A160,'Base Gerencial'!$S$2:$S$2000,"Concluído",'Base Gerencial'!$O$2:$O$2000,"&lt;&gt;Apoio")</f>
        <v>0</v>
      </c>
      <c r="D160" s="26">
        <f>SUMIFS('Base Gerencial'!$T$2:$T$2000,'Base Gerencial'!$F$2:$F$2000,"Newsletter",'Base Gerencial'!$G$2:$G$2000,$A160)</f>
        <v>0</v>
      </c>
      <c r="E160" s="26">
        <f>SUMIFS('Base Gerencial'!$W$2:$W$2000,'Base Gerencial'!$F$2:$F$2000,"Newsletter",'Base Gerencial'!$G$2:$G$2000,$A160)</f>
        <v>0</v>
      </c>
    </row>
    <row r="161" spans="1:6" x14ac:dyDescent="0.35">
      <c r="A161" s="16" t="s">
        <v>371</v>
      </c>
      <c r="B161" s="25">
        <f>COUNTIFS('Base Gerencial'!$F$2:$F$2000,"Newsletter",'Base Gerencial'!$G$2:$G$2000,$A161,'Base Gerencial'!$O$2:$O$2000,"&lt;&gt;Apoio")</f>
        <v>0</v>
      </c>
      <c r="C161" s="25">
        <f>COUNTIFS('Base Gerencial'!$F$2:$F$2000,"Newsletter",'Base Gerencial'!$G$2:$G$2000,$A161,'Base Gerencial'!$S$2:$S$2000,"Concluído",'Base Gerencial'!$O$2:$O$2000,"&lt;&gt;Apoio")</f>
        <v>0</v>
      </c>
      <c r="D161" s="26">
        <f>SUMIFS('Base Gerencial'!$T$2:$T$2000,'Base Gerencial'!$F$2:$F$2000,"Newsletter",'Base Gerencial'!$G$2:$G$2000,$A161)</f>
        <v>0</v>
      </c>
      <c r="E161" s="26">
        <f>SUMIFS('Base Gerencial'!$W$2:$W$2000,'Base Gerencial'!$F$2:$F$2000,"Newsletter",'Base Gerencial'!$G$2:$G$2000,$A161)</f>
        <v>0</v>
      </c>
    </row>
    <row r="162" spans="1:6" x14ac:dyDescent="0.35">
      <c r="A162" s="16" t="s">
        <v>372</v>
      </c>
      <c r="B162" s="25">
        <f>COUNTIFS('Base Gerencial'!$F$2:$F$2000,"Newsletter",'Base Gerencial'!$G$2:$G$2000,$A162,'Base Gerencial'!$O$2:$O$2000,"&lt;&gt;Apoio")</f>
        <v>0</v>
      </c>
      <c r="C162" s="25">
        <f>COUNTIFS('Base Gerencial'!$F$2:$F$2000,"Newsletter",'Base Gerencial'!$G$2:$G$2000,$A162,'Base Gerencial'!$S$2:$S$2000,"Concluído",'Base Gerencial'!$O$2:$O$2000,"&lt;&gt;Apoio")</f>
        <v>0</v>
      </c>
      <c r="D162" s="26">
        <f>SUMIFS('Base Gerencial'!$T$2:$T$2000,'Base Gerencial'!$F$2:$F$2000,"Newsletter",'Base Gerencial'!$G$2:$G$2000,$A162)</f>
        <v>0</v>
      </c>
      <c r="E162" s="26">
        <f>SUMIFS('Base Gerencial'!$W$2:$W$2000,'Base Gerencial'!$F$2:$F$2000,"Newsletter",'Base Gerencial'!$G$2:$G$2000,$A162)</f>
        <v>0</v>
      </c>
    </row>
    <row r="163" spans="1:6" x14ac:dyDescent="0.35">
      <c r="A163" s="16" t="s">
        <v>373</v>
      </c>
      <c r="B163" s="25">
        <f>COUNTIFS('Base Gerencial'!$F$2:$F$2000,"Newsletter",'Base Gerencial'!$G$2:$G$2000,$A163,'Base Gerencial'!$O$2:$O$2000,"&lt;&gt;Apoio")</f>
        <v>0</v>
      </c>
      <c r="C163" s="25">
        <f>COUNTIFS('Base Gerencial'!$F$2:$F$2000,"Newsletter",'Base Gerencial'!$G$2:$G$2000,$A163,'Base Gerencial'!$S$2:$S$2000,"Concluído",'Base Gerencial'!$O$2:$O$2000,"&lt;&gt;Apoio")</f>
        <v>0</v>
      </c>
      <c r="D163" s="26">
        <f>SUMIFS('Base Gerencial'!$T$2:$T$2000,'Base Gerencial'!$F$2:$F$2000,"Newsletter",'Base Gerencial'!$G$2:$G$2000,$A163)</f>
        <v>0</v>
      </c>
      <c r="E163" s="26">
        <f>SUMIFS('Base Gerencial'!$W$2:$W$2000,'Base Gerencial'!$F$2:$F$2000,"Newsletter",'Base Gerencial'!$G$2:$G$2000,$A163)</f>
        <v>0</v>
      </c>
    </row>
    <row r="164" spans="1:6" x14ac:dyDescent="0.35">
      <c r="A164" s="16" t="s">
        <v>374</v>
      </c>
      <c r="B164" s="25">
        <f>COUNTIFS('Base Gerencial'!$F$2:$F$2000,"Newsletter",'Base Gerencial'!$G$2:$G$2000,$A164,'Base Gerencial'!$O$2:$O$2000,"&lt;&gt;Apoio")</f>
        <v>0</v>
      </c>
      <c r="C164" s="25">
        <f>COUNTIFS('Base Gerencial'!$F$2:$F$2000,"Newsletter",'Base Gerencial'!$G$2:$G$2000,$A164,'Base Gerencial'!$S$2:$S$2000,"Concluído",'Base Gerencial'!$O$2:$O$2000,"&lt;&gt;Apoio")</f>
        <v>0</v>
      </c>
      <c r="D164" s="26">
        <f>SUMIFS('Base Gerencial'!$T$2:$T$2000,'Base Gerencial'!$F$2:$F$2000,"Newsletter",'Base Gerencial'!$G$2:$G$2000,$A164)</f>
        <v>0</v>
      </c>
      <c r="E164" s="26">
        <f>SUMIFS('Base Gerencial'!$W$2:$W$2000,'Base Gerencial'!$F$2:$F$2000,"Newsletter",'Base Gerencial'!$G$2:$G$2000,$A164)</f>
        <v>0</v>
      </c>
    </row>
    <row r="165" spans="1:6" x14ac:dyDescent="0.35">
      <c r="A165" s="16" t="s">
        <v>375</v>
      </c>
      <c r="B165" s="25">
        <f>COUNTIFS('Base Gerencial'!$F$2:$F$2000,"Newsletter",'Base Gerencial'!$G$2:$G$2000,$A165,'Base Gerencial'!$O$2:$O$2000,"&lt;&gt;Apoio")</f>
        <v>0</v>
      </c>
      <c r="C165" s="25">
        <f>COUNTIFS('Base Gerencial'!$F$2:$F$2000,"Newsletter",'Base Gerencial'!$G$2:$G$2000,$A165,'Base Gerencial'!$S$2:$S$2000,"Concluído",'Base Gerencial'!$O$2:$O$2000,"&lt;&gt;Apoio")</f>
        <v>0</v>
      </c>
      <c r="D165" s="26">
        <f>SUMIFS('Base Gerencial'!$T$2:$T$2000,'Base Gerencial'!$F$2:$F$2000,"Newsletter",'Base Gerencial'!$G$2:$G$2000,$A165)</f>
        <v>0</v>
      </c>
      <c r="E165" s="26">
        <f>SUMIFS('Base Gerencial'!$W$2:$W$2000,'Base Gerencial'!$F$2:$F$2000,"Newsletter",'Base Gerencial'!$G$2:$G$2000,$A165)</f>
        <v>0</v>
      </c>
    </row>
    <row r="166" spans="1:6" x14ac:dyDescent="0.35">
      <c r="A166" s="16" t="s">
        <v>376</v>
      </c>
      <c r="B166" s="25">
        <f>COUNTIFS('Base Gerencial'!$F$2:$F$2000,"Newsletter",'Base Gerencial'!$G$2:$G$2000,$A166,'Base Gerencial'!$O$2:$O$2000,"&lt;&gt;Apoio")</f>
        <v>0</v>
      </c>
      <c r="C166" s="25">
        <f>COUNTIFS('Base Gerencial'!$F$2:$F$2000,"Newsletter",'Base Gerencial'!$G$2:$G$2000,$A166,'Base Gerencial'!$S$2:$S$2000,"Concluído",'Base Gerencial'!$O$2:$O$2000,"&lt;&gt;Apoio")</f>
        <v>0</v>
      </c>
      <c r="D166" s="26">
        <f>SUMIFS('Base Gerencial'!$T$2:$T$2000,'Base Gerencial'!$F$2:$F$2000,"Newsletter",'Base Gerencial'!$G$2:$G$2000,$A166)</f>
        <v>0</v>
      </c>
      <c r="E166" s="26">
        <f>SUMIFS('Base Gerencial'!$W$2:$W$2000,'Base Gerencial'!$F$2:$F$2000,"Newsletter",'Base Gerencial'!$G$2:$G$2000,$A166)</f>
        <v>0</v>
      </c>
    </row>
    <row r="167" spans="1:6" x14ac:dyDescent="0.35">
      <c r="A167" s="16" t="s">
        <v>377</v>
      </c>
      <c r="B167" s="25">
        <f>COUNTIFS('Base Gerencial'!$F$2:$F$2000,"Newsletter",'Base Gerencial'!$G$2:$G$2000,$A167,'Base Gerencial'!$O$2:$O$2000,"&lt;&gt;Apoio")</f>
        <v>0</v>
      </c>
      <c r="C167" s="25">
        <f>COUNTIFS('Base Gerencial'!$F$2:$F$2000,"Newsletter",'Base Gerencial'!$G$2:$G$2000,$A167,'Base Gerencial'!$S$2:$S$2000,"Concluído",'Base Gerencial'!$O$2:$O$2000,"&lt;&gt;Apoio")</f>
        <v>0</v>
      </c>
      <c r="D167" s="26">
        <f>SUMIFS('Base Gerencial'!$T$2:$T$2000,'Base Gerencial'!$F$2:$F$2000,"Newsletter",'Base Gerencial'!$G$2:$G$2000,$A167)</f>
        <v>0</v>
      </c>
      <c r="E167" s="26">
        <f>SUMIFS('Base Gerencial'!$W$2:$W$2000,'Base Gerencial'!$F$2:$F$2000,"Newsletter",'Base Gerencial'!$G$2:$G$2000,$A167)</f>
        <v>0</v>
      </c>
    </row>
    <row r="168" spans="1:6" x14ac:dyDescent="0.35">
      <c r="A168" s="16" t="s">
        <v>378</v>
      </c>
      <c r="B168" s="25">
        <f>COUNTIFS('Base Gerencial'!$F$2:$F$2000,"Newsletter",'Base Gerencial'!$G$2:$G$2000,$A168,'Base Gerencial'!$O$2:$O$2000,"&lt;&gt;Apoio")</f>
        <v>0</v>
      </c>
      <c r="C168" s="25">
        <f>COUNTIFS('Base Gerencial'!$F$2:$F$2000,"Newsletter",'Base Gerencial'!$G$2:$G$2000,$A168,'Base Gerencial'!$S$2:$S$2000,"Concluído",'Base Gerencial'!$O$2:$O$2000,"&lt;&gt;Apoio")</f>
        <v>0</v>
      </c>
      <c r="D168" s="26">
        <f>SUMIFS('Base Gerencial'!$T$2:$T$2000,'Base Gerencial'!$F$2:$F$2000,"Newsletter",'Base Gerencial'!$G$2:$G$2000,$A168)</f>
        <v>0</v>
      </c>
      <c r="E168" s="26">
        <f>SUMIFS('Base Gerencial'!$W$2:$W$2000,'Base Gerencial'!$F$2:$F$2000,"Newsletter",'Base Gerencial'!$G$2:$G$2000,$A168)</f>
        <v>0</v>
      </c>
    </row>
    <row r="169" spans="1:6" x14ac:dyDescent="0.35">
      <c r="A169" s="16" t="s">
        <v>379</v>
      </c>
      <c r="B169" s="25">
        <f>COUNTIFS('Base Gerencial'!$F$2:$F$2000,"Newsletter",'Base Gerencial'!$G$2:$G$2000,$A169,'Base Gerencial'!$O$2:$O$2000,"&lt;&gt;Apoio")</f>
        <v>0</v>
      </c>
      <c r="C169" s="25">
        <f>COUNTIFS('Base Gerencial'!$F$2:$F$2000,"Newsletter",'Base Gerencial'!$G$2:$G$2000,$A169,'Base Gerencial'!$S$2:$S$2000,"Concluído",'Base Gerencial'!$O$2:$O$2000,"&lt;&gt;Apoio")</f>
        <v>0</v>
      </c>
      <c r="D169" s="26">
        <f>SUMIFS('Base Gerencial'!$T$2:$T$2000,'Base Gerencial'!$F$2:$F$2000,"Newsletter",'Base Gerencial'!$G$2:$G$2000,$A169)</f>
        <v>0</v>
      </c>
      <c r="E169" s="26">
        <f>SUMIFS('Base Gerencial'!$W$2:$W$2000,'Base Gerencial'!$F$2:$F$2000,"Newsletter",'Base Gerencial'!$G$2:$G$2000,$A169)</f>
        <v>0</v>
      </c>
    </row>
    <row r="170" spans="1:6" x14ac:dyDescent="0.35">
      <c r="A170" s="16" t="s">
        <v>380</v>
      </c>
      <c r="B170" s="25">
        <f>COUNTIFS('Base Gerencial'!$F$2:$F$2000,"Newsletter",'Base Gerencial'!$G$2:$G$2000,$A170,'Base Gerencial'!$O$2:$O$2000,"&lt;&gt;Apoio")</f>
        <v>0</v>
      </c>
      <c r="C170" s="25">
        <f>COUNTIFS('Base Gerencial'!$F$2:$F$2000,"Newsletter",'Base Gerencial'!$G$2:$G$2000,$A170,'Base Gerencial'!$S$2:$S$2000,"Concluído",'Base Gerencial'!$O$2:$O$2000,"&lt;&gt;Apoio")</f>
        <v>0</v>
      </c>
      <c r="D170" s="26">
        <f>SUMIFS('Base Gerencial'!$T$2:$T$2000,'Base Gerencial'!$F$2:$F$2000,"Newsletter",'Base Gerencial'!$G$2:$G$2000,$A170)</f>
        <v>0</v>
      </c>
      <c r="E170" s="26">
        <f>SUMIFS('Base Gerencial'!$W$2:$W$2000,'Base Gerencial'!$F$2:$F$2000,"Newsletter",'Base Gerencial'!$G$2:$G$2000,$A170)</f>
        <v>0</v>
      </c>
    </row>
    <row r="171" spans="1:6" x14ac:dyDescent="0.35">
      <c r="A171" s="16" t="s">
        <v>381</v>
      </c>
      <c r="B171" s="25">
        <f>COUNTIFS('Base Gerencial'!$F$2:$F$2000,"Newsletter",'Base Gerencial'!$G$2:$G$2000,$A171,'Base Gerencial'!$O$2:$O$2000,"&lt;&gt;Apoio")</f>
        <v>0</v>
      </c>
      <c r="C171" s="25">
        <f>COUNTIFS('Base Gerencial'!$F$2:$F$2000,"Newsletter",'Base Gerencial'!$G$2:$G$2000,$A171,'Base Gerencial'!$S$2:$S$2000,"Concluído",'Base Gerencial'!$O$2:$O$2000,"&lt;&gt;Apoio")</f>
        <v>0</v>
      </c>
      <c r="D171" s="26">
        <f>SUMIFS('Base Gerencial'!$T$2:$T$2000,'Base Gerencial'!$F$2:$F$2000,"Newsletter",'Base Gerencial'!$G$2:$G$2000,$A171)</f>
        <v>0</v>
      </c>
      <c r="E171" s="26">
        <f>SUMIFS('Base Gerencial'!$W$2:$W$2000,'Base Gerencial'!$F$2:$F$2000,"Newsletter",'Base Gerencial'!$G$2:$G$2000,$A171)</f>
        <v>0</v>
      </c>
    </row>
    <row r="172" spans="1:6" x14ac:dyDescent="0.35">
      <c r="A172" s="16" t="s">
        <v>382</v>
      </c>
      <c r="B172" s="25">
        <f>COUNTIFS('Base Gerencial'!$F$2:$F$2000,"Newsletter",'Base Gerencial'!$G$2:$G$2000,$A172,'Base Gerencial'!$O$2:$O$2000,"&lt;&gt;Apoio")</f>
        <v>0</v>
      </c>
      <c r="C172" s="25">
        <f>COUNTIFS('Base Gerencial'!$F$2:$F$2000,"Newsletter",'Base Gerencial'!$G$2:$G$2000,$A172,'Base Gerencial'!$S$2:$S$2000,"Concluído",'Base Gerencial'!$O$2:$O$2000,"&lt;&gt;Apoio")</f>
        <v>0</v>
      </c>
      <c r="D172" s="26">
        <f>SUMIFS('Base Gerencial'!$T$2:$T$2000,'Base Gerencial'!$F$2:$F$2000,"Newsletter",'Base Gerencial'!$G$2:$G$2000,$A172)</f>
        <v>0</v>
      </c>
      <c r="E172" s="26">
        <f>SUMIFS('Base Gerencial'!$W$2:$W$2000,'Base Gerencial'!$F$2:$F$2000,"Newsletter",'Base Gerencial'!$G$2:$G$2000,$A172)</f>
        <v>0</v>
      </c>
    </row>
    <row r="174" spans="1:6" ht="19.5" customHeight="1" x14ac:dyDescent="0.35">
      <c r="A174" s="32" t="s">
        <v>383</v>
      </c>
      <c r="B174" s="32"/>
      <c r="C174" s="32"/>
      <c r="D174" s="32"/>
      <c r="E174" s="32"/>
      <c r="F174" s="32"/>
    </row>
    <row r="175" spans="1:6" x14ac:dyDescent="0.35">
      <c r="A175" s="27" t="s">
        <v>33</v>
      </c>
      <c r="B175" s="27" t="s">
        <v>307</v>
      </c>
      <c r="C175" s="27" t="s">
        <v>282</v>
      </c>
      <c r="D175" s="27" t="s">
        <v>299</v>
      </c>
      <c r="E175" s="27" t="s">
        <v>49</v>
      </c>
    </row>
    <row r="176" spans="1:6" x14ac:dyDescent="0.35">
      <c r="A176" s="16" t="s">
        <v>384</v>
      </c>
      <c r="B176" s="25">
        <f>COUNTIFS('Base Gerencial'!$F$2:$F$2000,"Investidas",'Base Gerencial'!$G$2:$G$2000,$A176,'Base Gerencial'!$O$2:$O$2000,"&lt;&gt;Apoio")</f>
        <v>0</v>
      </c>
      <c r="C176" s="25">
        <f>COUNTIFS('Base Gerencial'!$F$2:$F$2000,"Investidas",'Base Gerencial'!$G$2:$G$2000,$A176,'Base Gerencial'!$S$2:$S$2000,"Concluído",'Base Gerencial'!$O$2:$O$2000,"&lt;&gt;Apoio")</f>
        <v>0</v>
      </c>
      <c r="D176" s="26">
        <f>SUMIFS('Base Gerencial'!$T$2:$T$2000,'Base Gerencial'!$F$2:$F$2000,"Investidas",'Base Gerencial'!$G$2:$G$2000,$A176)</f>
        <v>0</v>
      </c>
      <c r="E176" s="26">
        <f>SUMIFS('Base Gerencial'!$W$2:$W$2000,'Base Gerencial'!$F$2:$F$2000,"Investidas",'Base Gerencial'!$G$2:$G$2000,$A176)</f>
        <v>0</v>
      </c>
    </row>
    <row r="177" spans="1:6" x14ac:dyDescent="0.35">
      <c r="A177" s="16" t="s">
        <v>385</v>
      </c>
      <c r="B177" s="25">
        <f>COUNTIFS('Base Gerencial'!$F$2:$F$2000,"Investidas",'Base Gerencial'!$G$2:$G$2000,$A177,'Base Gerencial'!$O$2:$O$2000,"&lt;&gt;Apoio")</f>
        <v>0</v>
      </c>
      <c r="C177" s="25">
        <f>COUNTIFS('Base Gerencial'!$F$2:$F$2000,"Investidas",'Base Gerencial'!$G$2:$G$2000,$A177,'Base Gerencial'!$S$2:$S$2000,"Concluído",'Base Gerencial'!$O$2:$O$2000,"&lt;&gt;Apoio")</f>
        <v>0</v>
      </c>
      <c r="D177" s="26">
        <f>SUMIFS('Base Gerencial'!$T$2:$T$2000,'Base Gerencial'!$F$2:$F$2000,"Investidas",'Base Gerencial'!$G$2:$G$2000,$A177)</f>
        <v>0</v>
      </c>
      <c r="E177" s="26">
        <f>SUMIFS('Base Gerencial'!$W$2:$W$2000,'Base Gerencial'!$F$2:$F$2000,"Investidas",'Base Gerencial'!$G$2:$G$2000,$A177)</f>
        <v>0</v>
      </c>
    </row>
    <row r="178" spans="1:6" x14ac:dyDescent="0.35">
      <c r="A178" s="16" t="s">
        <v>155</v>
      </c>
      <c r="B178" s="25">
        <f>COUNTIFS('Base Gerencial'!$F$2:$F$2000,"Investidas",'Base Gerencial'!$G$2:$G$2000,$A178,'Base Gerencial'!$O$2:$O$2000,"&lt;&gt;Apoio")</f>
        <v>0</v>
      </c>
      <c r="C178" s="25">
        <f>COUNTIFS('Base Gerencial'!$F$2:$F$2000,"Investidas",'Base Gerencial'!$G$2:$G$2000,$A178,'Base Gerencial'!$S$2:$S$2000,"Concluído",'Base Gerencial'!$O$2:$O$2000,"&lt;&gt;Apoio")</f>
        <v>0</v>
      </c>
      <c r="D178" s="26">
        <f>SUMIFS('Base Gerencial'!$T$2:$T$2000,'Base Gerencial'!$F$2:$F$2000,"Investidas",'Base Gerencial'!$G$2:$G$2000,$A178)</f>
        <v>0</v>
      </c>
      <c r="E178" s="26">
        <f>SUMIFS('Base Gerencial'!$W$2:$W$2000,'Base Gerencial'!$F$2:$F$2000,"Investidas",'Base Gerencial'!$G$2:$G$2000,$A178)</f>
        <v>0</v>
      </c>
    </row>
    <row r="179" spans="1:6" x14ac:dyDescent="0.35">
      <c r="A179" s="16" t="s">
        <v>386</v>
      </c>
      <c r="B179" s="25">
        <f>COUNTIFS('Base Gerencial'!$F$2:$F$2000,"Investidas",'Base Gerencial'!$G$2:$G$2000,$A179,'Base Gerencial'!$O$2:$O$2000,"&lt;&gt;Apoio")</f>
        <v>0</v>
      </c>
      <c r="C179" s="25">
        <f>COUNTIFS('Base Gerencial'!$F$2:$F$2000,"Investidas",'Base Gerencial'!$G$2:$G$2000,$A179,'Base Gerencial'!$S$2:$S$2000,"Concluído",'Base Gerencial'!$O$2:$O$2000,"&lt;&gt;Apoio")</f>
        <v>0</v>
      </c>
      <c r="D179" s="26">
        <f>SUMIFS('Base Gerencial'!$T$2:$T$2000,'Base Gerencial'!$F$2:$F$2000,"Investidas",'Base Gerencial'!$G$2:$G$2000,$A179)</f>
        <v>0</v>
      </c>
      <c r="E179" s="26">
        <f>SUMIFS('Base Gerencial'!$W$2:$W$2000,'Base Gerencial'!$F$2:$F$2000,"Investidas",'Base Gerencial'!$G$2:$G$2000,$A179)</f>
        <v>0</v>
      </c>
    </row>
    <row r="180" spans="1:6" x14ac:dyDescent="0.35">
      <c r="A180" s="16" t="s">
        <v>387</v>
      </c>
      <c r="B180" s="25">
        <f>COUNTIFS('Base Gerencial'!$F$2:$F$2000,"Investidas",'Base Gerencial'!$G$2:$G$2000,$A180,'Base Gerencial'!$O$2:$O$2000,"&lt;&gt;Apoio")</f>
        <v>0</v>
      </c>
      <c r="C180" s="25">
        <f>COUNTIFS('Base Gerencial'!$F$2:$F$2000,"Investidas",'Base Gerencial'!$G$2:$G$2000,$A180,'Base Gerencial'!$S$2:$S$2000,"Concluído",'Base Gerencial'!$O$2:$O$2000,"&lt;&gt;Apoio")</f>
        <v>0</v>
      </c>
      <c r="D180" s="26">
        <f>SUMIFS('Base Gerencial'!$T$2:$T$2000,'Base Gerencial'!$F$2:$F$2000,"Investidas",'Base Gerencial'!$G$2:$G$2000,$A180)</f>
        <v>0</v>
      </c>
      <c r="E180" s="26">
        <f>SUMIFS('Base Gerencial'!$W$2:$W$2000,'Base Gerencial'!$F$2:$F$2000,"Investidas",'Base Gerencial'!$G$2:$G$2000,$A180)</f>
        <v>0</v>
      </c>
    </row>
    <row r="181" spans="1:6" x14ac:dyDescent="0.35">
      <c r="A181" s="16" t="s">
        <v>388</v>
      </c>
      <c r="B181" s="25">
        <f>COUNTIFS('Base Gerencial'!$F$2:$F$2000,"Investidas",'Base Gerencial'!$G$2:$G$2000,$A181,'Base Gerencial'!$O$2:$O$2000,"&lt;&gt;Apoio")</f>
        <v>0</v>
      </c>
      <c r="C181" s="25">
        <f>COUNTIFS('Base Gerencial'!$F$2:$F$2000,"Investidas",'Base Gerencial'!$G$2:$G$2000,$A181,'Base Gerencial'!$S$2:$S$2000,"Concluído",'Base Gerencial'!$O$2:$O$2000,"&lt;&gt;Apoio")</f>
        <v>0</v>
      </c>
      <c r="D181" s="26">
        <f>SUMIFS('Base Gerencial'!$T$2:$T$2000,'Base Gerencial'!$F$2:$F$2000,"Investidas",'Base Gerencial'!$G$2:$G$2000,$A181)</f>
        <v>0</v>
      </c>
      <c r="E181" s="26">
        <f>SUMIFS('Base Gerencial'!$W$2:$W$2000,'Base Gerencial'!$F$2:$F$2000,"Investidas",'Base Gerencial'!$G$2:$G$2000,$A181)</f>
        <v>0</v>
      </c>
    </row>
    <row r="183" spans="1:6" ht="19.5" customHeight="1" x14ac:dyDescent="0.35">
      <c r="A183" s="32" t="s">
        <v>389</v>
      </c>
      <c r="B183" s="32"/>
      <c r="C183" s="32"/>
      <c r="D183" s="32"/>
      <c r="E183" s="32"/>
      <c r="F183" s="32"/>
    </row>
    <row r="184" spans="1:6" x14ac:dyDescent="0.35">
      <c r="A184" s="27" t="s">
        <v>33</v>
      </c>
      <c r="B184" s="27" t="s">
        <v>307</v>
      </c>
      <c r="C184" s="27" t="s">
        <v>282</v>
      </c>
      <c r="D184" s="27" t="s">
        <v>299</v>
      </c>
      <c r="E184" s="27" t="s">
        <v>49</v>
      </c>
    </row>
    <row r="185" spans="1:6" x14ac:dyDescent="0.35">
      <c r="A185" s="16" t="s">
        <v>384</v>
      </c>
      <c r="B185" s="25">
        <f>COUNTIFS('Base Gerencial'!$F$2:$F$2000,"Actio",'Base Gerencial'!$G$2:$G$2000,$A185,'Base Gerencial'!$O$2:$O$2000,"&lt;&gt;Apoio")</f>
        <v>0</v>
      </c>
      <c r="C185" s="25">
        <f>COUNTIFS('Base Gerencial'!$F$2:$F$2000,"Actio",'Base Gerencial'!$G$2:$G$2000,$A185,'Base Gerencial'!$S$2:$S$2000,"Concluído",'Base Gerencial'!$O$2:$O$2000,"&lt;&gt;Apoio")</f>
        <v>0</v>
      </c>
      <c r="D185" s="26">
        <f>SUMIFS('Base Gerencial'!$T$2:$T$2000,'Base Gerencial'!$F$2:$F$2000,"Actio",'Base Gerencial'!$G$2:$G$2000,$A185)</f>
        <v>0</v>
      </c>
      <c r="E185" s="26">
        <f>SUMIFS('Base Gerencial'!$W$2:$W$2000,'Base Gerencial'!$F$2:$F$2000,"Actio",'Base Gerencial'!$G$2:$G$2000,$A185)</f>
        <v>0</v>
      </c>
    </row>
    <row r="186" spans="1:6" x14ac:dyDescent="0.35">
      <c r="A186" s="16" t="s">
        <v>390</v>
      </c>
      <c r="B186" s="25">
        <f>COUNTIFS('Base Gerencial'!$F$2:$F$2000,"Actio",'Base Gerencial'!$G$2:$G$2000,$A186,'Base Gerencial'!$O$2:$O$2000,"&lt;&gt;Apoio")</f>
        <v>0</v>
      </c>
      <c r="C186" s="25">
        <f>COUNTIFS('Base Gerencial'!$F$2:$F$2000,"Actio",'Base Gerencial'!$G$2:$G$2000,$A186,'Base Gerencial'!$S$2:$S$2000,"Concluído",'Base Gerencial'!$O$2:$O$2000,"&lt;&gt;Apoio")</f>
        <v>0</v>
      </c>
      <c r="D186" s="26">
        <f>SUMIFS('Base Gerencial'!$T$2:$T$2000,'Base Gerencial'!$F$2:$F$2000,"Actio",'Base Gerencial'!$G$2:$G$2000,$A186)</f>
        <v>0</v>
      </c>
      <c r="E186" s="26">
        <f>SUMIFS('Base Gerencial'!$W$2:$W$2000,'Base Gerencial'!$F$2:$F$2000,"Actio",'Base Gerencial'!$G$2:$G$2000,$A186)</f>
        <v>0</v>
      </c>
    </row>
    <row r="187" spans="1:6" x14ac:dyDescent="0.35">
      <c r="A187" s="16" t="s">
        <v>182</v>
      </c>
      <c r="B187" s="25">
        <f>COUNTIFS('Base Gerencial'!$F$2:$F$2000,"Actio",'Base Gerencial'!$G$2:$G$2000,$A187,'Base Gerencial'!$O$2:$O$2000,"&lt;&gt;Apoio")</f>
        <v>0</v>
      </c>
      <c r="C187" s="25">
        <f>COUNTIFS('Base Gerencial'!$F$2:$F$2000,"Actio",'Base Gerencial'!$G$2:$G$2000,$A187,'Base Gerencial'!$S$2:$S$2000,"Concluído",'Base Gerencial'!$O$2:$O$2000,"&lt;&gt;Apoio")</f>
        <v>0</v>
      </c>
      <c r="D187" s="26">
        <f>SUMIFS('Base Gerencial'!$T$2:$T$2000,'Base Gerencial'!$F$2:$F$2000,"Actio",'Base Gerencial'!$G$2:$G$2000,$A187)</f>
        <v>0</v>
      </c>
      <c r="E187" s="26">
        <f>SUMIFS('Base Gerencial'!$W$2:$W$2000,'Base Gerencial'!$F$2:$F$2000,"Actio",'Base Gerencial'!$G$2:$G$2000,$A187)</f>
        <v>0</v>
      </c>
    </row>
    <row r="188" spans="1:6" x14ac:dyDescent="0.35">
      <c r="A188" s="16" t="s">
        <v>391</v>
      </c>
      <c r="B188" s="25">
        <f>COUNTIFS('Base Gerencial'!$F$2:$F$2000,"Actio",'Base Gerencial'!$G$2:$G$2000,$A188,'Base Gerencial'!$O$2:$O$2000,"&lt;&gt;Apoio")</f>
        <v>0</v>
      </c>
      <c r="C188" s="25">
        <f>COUNTIFS('Base Gerencial'!$F$2:$F$2000,"Actio",'Base Gerencial'!$G$2:$G$2000,$A188,'Base Gerencial'!$S$2:$S$2000,"Concluído",'Base Gerencial'!$O$2:$O$2000,"&lt;&gt;Apoio")</f>
        <v>0</v>
      </c>
      <c r="D188" s="26">
        <f>SUMIFS('Base Gerencial'!$T$2:$T$2000,'Base Gerencial'!$F$2:$F$2000,"Actio",'Base Gerencial'!$G$2:$G$2000,$A188)</f>
        <v>0</v>
      </c>
      <c r="E188" s="26">
        <f>SUMIFS('Base Gerencial'!$W$2:$W$2000,'Base Gerencial'!$F$2:$F$2000,"Actio",'Base Gerencial'!$G$2:$G$2000,$A188)</f>
        <v>0</v>
      </c>
    </row>
    <row r="189" spans="1:6" x14ac:dyDescent="0.35">
      <c r="A189" s="16" t="s">
        <v>392</v>
      </c>
      <c r="B189" s="25">
        <f>COUNTIFS('Base Gerencial'!$F$2:$F$2000,"Actio",'Base Gerencial'!$G$2:$G$2000,$A189,'Base Gerencial'!$O$2:$O$2000,"&lt;&gt;Apoio")</f>
        <v>0</v>
      </c>
      <c r="C189" s="25">
        <f>COUNTIFS('Base Gerencial'!$F$2:$F$2000,"Actio",'Base Gerencial'!$G$2:$G$2000,$A189,'Base Gerencial'!$S$2:$S$2000,"Concluído",'Base Gerencial'!$O$2:$O$2000,"&lt;&gt;Apoio")</f>
        <v>0</v>
      </c>
      <c r="D189" s="26">
        <f>SUMIFS('Base Gerencial'!$T$2:$T$2000,'Base Gerencial'!$F$2:$F$2000,"Actio",'Base Gerencial'!$G$2:$G$2000,$A189)</f>
        <v>0</v>
      </c>
      <c r="E189" s="26">
        <f>SUMIFS('Base Gerencial'!$W$2:$W$2000,'Base Gerencial'!$F$2:$F$2000,"Actio",'Base Gerencial'!$G$2:$G$2000,$A189)</f>
        <v>0</v>
      </c>
    </row>
    <row r="190" spans="1:6" x14ac:dyDescent="0.35">
      <c r="A190" s="16" t="s">
        <v>388</v>
      </c>
      <c r="B190" s="25">
        <f>COUNTIFS('Base Gerencial'!$F$2:$F$2000,"Actio",'Base Gerencial'!$G$2:$G$2000,$A190,'Base Gerencial'!$O$2:$O$2000,"&lt;&gt;Apoio")</f>
        <v>0</v>
      </c>
      <c r="C190" s="25">
        <f>COUNTIFS('Base Gerencial'!$F$2:$F$2000,"Actio",'Base Gerencial'!$G$2:$G$2000,$A190,'Base Gerencial'!$S$2:$S$2000,"Concluído",'Base Gerencial'!$O$2:$O$2000,"&lt;&gt;Apoio")</f>
        <v>0</v>
      </c>
      <c r="D190" s="26">
        <f>SUMIFS('Base Gerencial'!$T$2:$T$2000,'Base Gerencial'!$F$2:$F$2000,"Actio",'Base Gerencial'!$G$2:$G$2000,$A190)</f>
        <v>0</v>
      </c>
      <c r="E190" s="26">
        <f>SUMIFS('Base Gerencial'!$W$2:$W$2000,'Base Gerencial'!$F$2:$F$2000,"Actio",'Base Gerencial'!$G$2:$G$2000,$A190)</f>
        <v>0</v>
      </c>
    </row>
    <row r="192" spans="1:6" ht="19.5" customHeight="1" x14ac:dyDescent="0.35">
      <c r="A192" s="32" t="s">
        <v>393</v>
      </c>
      <c r="B192" s="32"/>
      <c r="C192" s="32"/>
      <c r="D192" s="32"/>
      <c r="E192" s="32"/>
      <c r="F192" s="32"/>
    </row>
    <row r="193" spans="1:5" x14ac:dyDescent="0.35">
      <c r="A193" s="27" t="s">
        <v>33</v>
      </c>
      <c r="B193" s="27" t="s">
        <v>307</v>
      </c>
      <c r="C193" s="27" t="s">
        <v>282</v>
      </c>
      <c r="D193" s="27" t="s">
        <v>299</v>
      </c>
      <c r="E193" s="27" t="s">
        <v>49</v>
      </c>
    </row>
    <row r="194" spans="1:5" x14ac:dyDescent="0.35">
      <c r="A194" s="16" t="s">
        <v>384</v>
      </c>
      <c r="B194" s="25">
        <f>COUNTIFS('Base Gerencial'!$F$2:$F$2000,"Indicadores e Metas",'Base Gerencial'!$G$2:$G$2000,$A194,'Base Gerencial'!$O$2:$O$2000,"&lt;&gt;Apoio")</f>
        <v>0</v>
      </c>
      <c r="C194" s="25">
        <f>COUNTIFS('Base Gerencial'!$F$2:$F$2000,"Indicadores e Metas",'Base Gerencial'!$G$2:$G$2000,$A194,'Base Gerencial'!$S$2:$S$2000,"Concluído",'Base Gerencial'!$O$2:$O$2000,"&lt;&gt;Apoio")</f>
        <v>0</v>
      </c>
      <c r="D194" s="26">
        <f>SUMIFS('Base Gerencial'!$T$2:$T$2000,'Base Gerencial'!$F$2:$F$2000,"Indicadores e Metas",'Base Gerencial'!$G$2:$G$2000,$A194)</f>
        <v>0</v>
      </c>
      <c r="E194" s="26">
        <f>SUMIFS('Base Gerencial'!$W$2:$W$2000,'Base Gerencial'!$F$2:$F$2000,"Indicadores e Metas",'Base Gerencial'!$G$2:$G$2000,$A194)</f>
        <v>0</v>
      </c>
    </row>
    <row r="195" spans="1:5" x14ac:dyDescent="0.35">
      <c r="A195" s="16" t="s">
        <v>192</v>
      </c>
      <c r="B195" s="25">
        <f>COUNTIFS('Base Gerencial'!$F$2:$F$2000,"Indicadores e Metas",'Base Gerencial'!$G$2:$G$2000,$A195,'Base Gerencial'!$O$2:$O$2000,"&lt;&gt;Apoio")</f>
        <v>0</v>
      </c>
      <c r="C195" s="25">
        <f>COUNTIFS('Base Gerencial'!$F$2:$F$2000,"Indicadores e Metas",'Base Gerencial'!$G$2:$G$2000,$A195,'Base Gerencial'!$S$2:$S$2000,"Concluído",'Base Gerencial'!$O$2:$O$2000,"&lt;&gt;Apoio")</f>
        <v>0</v>
      </c>
      <c r="D195" s="26">
        <f>SUMIFS('Base Gerencial'!$T$2:$T$2000,'Base Gerencial'!$F$2:$F$2000,"Indicadores e Metas",'Base Gerencial'!$G$2:$G$2000,$A195)</f>
        <v>0</v>
      </c>
      <c r="E195" s="26">
        <f>SUMIFS('Base Gerencial'!$W$2:$W$2000,'Base Gerencial'!$F$2:$F$2000,"Indicadores e Metas",'Base Gerencial'!$G$2:$G$2000,$A195)</f>
        <v>0</v>
      </c>
    </row>
    <row r="196" spans="1:5" x14ac:dyDescent="0.35">
      <c r="A196" s="16" t="s">
        <v>394</v>
      </c>
      <c r="B196" s="25">
        <f>COUNTIFS('Base Gerencial'!$F$2:$F$2000,"Indicadores e Metas",'Base Gerencial'!$G$2:$G$2000,$A196,'Base Gerencial'!$O$2:$O$2000,"&lt;&gt;Apoio")</f>
        <v>0</v>
      </c>
      <c r="C196" s="25">
        <f>COUNTIFS('Base Gerencial'!$F$2:$F$2000,"Indicadores e Metas",'Base Gerencial'!$G$2:$G$2000,$A196,'Base Gerencial'!$S$2:$S$2000,"Concluído",'Base Gerencial'!$O$2:$O$2000,"&lt;&gt;Apoio")</f>
        <v>0</v>
      </c>
      <c r="D196" s="26">
        <f>SUMIFS('Base Gerencial'!$T$2:$T$2000,'Base Gerencial'!$F$2:$F$2000,"Indicadores e Metas",'Base Gerencial'!$G$2:$G$2000,$A196)</f>
        <v>0</v>
      </c>
      <c r="E196" s="26">
        <f>SUMIFS('Base Gerencial'!$W$2:$W$2000,'Base Gerencial'!$F$2:$F$2000,"Indicadores e Metas",'Base Gerencial'!$G$2:$G$2000,$A196)</f>
        <v>0</v>
      </c>
    </row>
    <row r="197" spans="1:5" x14ac:dyDescent="0.35">
      <c r="A197" s="16" t="s">
        <v>196</v>
      </c>
      <c r="B197" s="25">
        <f>COUNTIFS('Base Gerencial'!$F$2:$F$2000,"Indicadores e Metas",'Base Gerencial'!$G$2:$G$2000,$A197,'Base Gerencial'!$O$2:$O$2000,"&lt;&gt;Apoio")</f>
        <v>0</v>
      </c>
      <c r="C197" s="25">
        <f>COUNTIFS('Base Gerencial'!$F$2:$F$2000,"Indicadores e Metas",'Base Gerencial'!$G$2:$G$2000,$A197,'Base Gerencial'!$S$2:$S$2000,"Concluído",'Base Gerencial'!$O$2:$O$2000,"&lt;&gt;Apoio")</f>
        <v>0</v>
      </c>
      <c r="D197" s="26">
        <f>SUMIFS('Base Gerencial'!$T$2:$T$2000,'Base Gerencial'!$F$2:$F$2000,"Indicadores e Metas",'Base Gerencial'!$G$2:$G$2000,$A197)</f>
        <v>0</v>
      </c>
      <c r="E197" s="26">
        <f>SUMIFS('Base Gerencial'!$W$2:$W$2000,'Base Gerencial'!$F$2:$F$2000,"Indicadores e Metas",'Base Gerencial'!$G$2:$G$2000,$A197)</f>
        <v>0</v>
      </c>
    </row>
    <row r="198" spans="1:5" x14ac:dyDescent="0.35">
      <c r="A198" s="16" t="s">
        <v>395</v>
      </c>
      <c r="B198" s="25">
        <f>COUNTIFS('Base Gerencial'!$F$2:$F$2000,"Indicadores e Metas",'Base Gerencial'!$G$2:$G$2000,$A198,'Base Gerencial'!$O$2:$O$2000,"&lt;&gt;Apoio")</f>
        <v>0</v>
      </c>
      <c r="C198" s="25">
        <f>COUNTIFS('Base Gerencial'!$F$2:$F$2000,"Indicadores e Metas",'Base Gerencial'!$G$2:$G$2000,$A198,'Base Gerencial'!$S$2:$S$2000,"Concluído",'Base Gerencial'!$O$2:$O$2000,"&lt;&gt;Apoio")</f>
        <v>0</v>
      </c>
      <c r="D198" s="26">
        <f>SUMIFS('Base Gerencial'!$T$2:$T$2000,'Base Gerencial'!$F$2:$F$2000,"Indicadores e Metas",'Base Gerencial'!$G$2:$G$2000,$A198)</f>
        <v>0</v>
      </c>
      <c r="E198" s="26">
        <f>SUMIFS('Base Gerencial'!$W$2:$W$2000,'Base Gerencial'!$F$2:$F$2000,"Indicadores e Metas",'Base Gerencial'!$G$2:$G$2000,$A198)</f>
        <v>0</v>
      </c>
    </row>
    <row r="199" spans="1:5" x14ac:dyDescent="0.35">
      <c r="A199" s="16" t="s">
        <v>388</v>
      </c>
      <c r="B199" s="25">
        <f>COUNTIFS('Base Gerencial'!$F$2:$F$2000,"Indicadores e Metas",'Base Gerencial'!$G$2:$G$2000,$A199,'Base Gerencial'!$O$2:$O$2000,"&lt;&gt;Apoio")</f>
        <v>0</v>
      </c>
      <c r="C199" s="25">
        <f>COUNTIFS('Base Gerencial'!$F$2:$F$2000,"Indicadores e Metas",'Base Gerencial'!$G$2:$G$2000,$A199,'Base Gerencial'!$S$2:$S$2000,"Concluído",'Base Gerencial'!$O$2:$O$2000,"&lt;&gt;Apoio")</f>
        <v>0</v>
      </c>
      <c r="D199" s="26">
        <f>SUMIFS('Base Gerencial'!$T$2:$T$2000,'Base Gerencial'!$F$2:$F$2000,"Indicadores e Metas",'Base Gerencial'!$G$2:$G$2000,$A199)</f>
        <v>0</v>
      </c>
      <c r="E199" s="26">
        <f>SUMIFS('Base Gerencial'!$W$2:$W$2000,'Base Gerencial'!$F$2:$F$2000,"Indicadores e Metas",'Base Gerencial'!$G$2:$G$2000,$A199)</f>
        <v>0</v>
      </c>
    </row>
  </sheetData>
  <mergeCells count="18">
    <mergeCell ref="A1:F1"/>
    <mergeCell ref="A2:F2"/>
    <mergeCell ref="A4:F4"/>
    <mergeCell ref="A18:F18"/>
    <mergeCell ref="A26:F26"/>
    <mergeCell ref="A33:F33"/>
    <mergeCell ref="A42:F42"/>
    <mergeCell ref="A77:F77"/>
    <mergeCell ref="A92:F92"/>
    <mergeCell ref="A101:F101"/>
    <mergeCell ref="A174:F174"/>
    <mergeCell ref="A183:F183"/>
    <mergeCell ref="A192:F192"/>
    <mergeCell ref="A112:F112"/>
    <mergeCell ref="A124:F124"/>
    <mergeCell ref="A141:F141"/>
    <mergeCell ref="A147:F147"/>
    <mergeCell ref="A153:F153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4"/>
  <sheetViews>
    <sheetView showGridLines="0" zoomScaleNormal="100" workbookViewId="0">
      <selection sqref="A1:F2"/>
    </sheetView>
  </sheetViews>
  <sheetFormatPr defaultColWidth="8.6328125" defaultRowHeight="14.5" x14ac:dyDescent="0.35"/>
  <cols>
    <col min="1" max="1" width="38" customWidth="1"/>
    <col min="2" max="6" width="15" customWidth="1"/>
  </cols>
  <sheetData>
    <row r="1" spans="1:6" x14ac:dyDescent="0.35">
      <c r="A1" s="43" t="s">
        <v>396</v>
      </c>
      <c r="B1" s="43"/>
      <c r="C1" s="43"/>
      <c r="D1" s="43"/>
      <c r="E1" s="43"/>
      <c r="F1" s="43"/>
    </row>
    <row r="2" spans="1:6" x14ac:dyDescent="0.35">
      <c r="A2" s="43"/>
      <c r="B2" s="43"/>
      <c r="C2" s="43"/>
      <c r="D2" s="43"/>
      <c r="E2" s="43"/>
      <c r="F2" s="43"/>
    </row>
    <row r="3" spans="1:6" x14ac:dyDescent="0.35">
      <c r="A3" s="44" t="s">
        <v>397</v>
      </c>
      <c r="B3" s="44"/>
      <c r="C3" s="44"/>
      <c r="D3" s="44"/>
      <c r="E3" s="44"/>
      <c r="F3" s="44"/>
    </row>
    <row r="5" spans="1:6" x14ac:dyDescent="0.35">
      <c r="A5" s="12" t="s">
        <v>398</v>
      </c>
      <c r="B5" s="42"/>
      <c r="C5" s="42"/>
    </row>
    <row r="6" spans="1:6" x14ac:dyDescent="0.35">
      <c r="A6" s="12" t="s">
        <v>399</v>
      </c>
      <c r="B6" s="42"/>
      <c r="C6" s="42"/>
    </row>
    <row r="7" spans="1:6" x14ac:dyDescent="0.35">
      <c r="A7" s="12" t="s">
        <v>400</v>
      </c>
      <c r="B7" s="45" t="s">
        <v>401</v>
      </c>
      <c r="C7" s="45"/>
    </row>
    <row r="8" spans="1:6" x14ac:dyDescent="0.35">
      <c r="A8" s="12" t="s">
        <v>402</v>
      </c>
      <c r="B8" s="42"/>
      <c r="C8" s="42"/>
    </row>
    <row r="9" spans="1:6" x14ac:dyDescent="0.35">
      <c r="A9" s="12" t="s">
        <v>403</v>
      </c>
      <c r="B9" s="42"/>
      <c r="C9" s="42"/>
    </row>
    <row r="11" spans="1:6" ht="19.5" customHeight="1" x14ac:dyDescent="0.35">
      <c r="A11" s="32" t="s">
        <v>404</v>
      </c>
      <c r="B11" s="32"/>
      <c r="C11" s="32"/>
      <c r="D11" s="32"/>
      <c r="E11" s="32"/>
      <c r="F11" s="32"/>
    </row>
    <row r="12" spans="1:6" ht="15" customHeight="1" x14ac:dyDescent="0.35">
      <c r="A12" s="41" t="s">
        <v>405</v>
      </c>
      <c r="B12" s="41"/>
      <c r="C12" s="41"/>
      <c r="D12" s="41"/>
      <c r="E12" s="41"/>
      <c r="F12" s="41"/>
    </row>
    <row r="13" spans="1:6" x14ac:dyDescent="0.35">
      <c r="A13" s="41"/>
      <c r="B13" s="41"/>
      <c r="C13" s="41"/>
      <c r="D13" s="41"/>
      <c r="E13" s="41"/>
      <c r="F13" s="41"/>
    </row>
    <row r="14" spans="1:6" x14ac:dyDescent="0.35">
      <c r="A14" s="41"/>
      <c r="B14" s="41"/>
      <c r="C14" s="41"/>
      <c r="D14" s="41"/>
      <c r="E14" s="41"/>
      <c r="F14" s="41"/>
    </row>
    <row r="15" spans="1:6" x14ac:dyDescent="0.35">
      <c r="A15" s="41"/>
      <c r="B15" s="41"/>
      <c r="C15" s="41"/>
      <c r="D15" s="41"/>
      <c r="E15" s="41"/>
      <c r="F15" s="41"/>
    </row>
    <row r="16" spans="1:6" x14ac:dyDescent="0.35">
      <c r="A16" s="41"/>
      <c r="B16" s="41"/>
      <c r="C16" s="41"/>
      <c r="D16" s="41"/>
      <c r="E16" s="41"/>
      <c r="F16" s="41"/>
    </row>
    <row r="17" spans="1:6" x14ac:dyDescent="0.35">
      <c r="A17" s="41"/>
      <c r="B17" s="41"/>
      <c r="C17" s="41"/>
      <c r="D17" s="41"/>
      <c r="E17" s="41"/>
      <c r="F17" s="41"/>
    </row>
    <row r="19" spans="1:6" ht="19.5" customHeight="1" x14ac:dyDescent="0.35">
      <c r="A19" s="32" t="s">
        <v>406</v>
      </c>
      <c r="B19" s="32"/>
      <c r="C19" s="32"/>
      <c r="D19" s="32"/>
      <c r="E19" s="32"/>
      <c r="F19" s="32"/>
    </row>
    <row r="20" spans="1:6" x14ac:dyDescent="0.35">
      <c r="A20" s="22" t="s">
        <v>407</v>
      </c>
      <c r="B20" s="14">
        <f>Indicadores!B5</f>
        <v>8</v>
      </c>
    </row>
    <row r="21" spans="1:6" x14ac:dyDescent="0.35">
      <c r="A21" s="22" t="s">
        <v>282</v>
      </c>
      <c r="B21" s="14">
        <f>Indicadores!B6</f>
        <v>4</v>
      </c>
    </row>
    <row r="22" spans="1:6" x14ac:dyDescent="0.35">
      <c r="A22" s="22" t="s">
        <v>408</v>
      </c>
      <c r="B22" s="15">
        <f>Indicadores!B10</f>
        <v>80</v>
      </c>
    </row>
    <row r="23" spans="1:6" x14ac:dyDescent="0.35">
      <c r="A23" s="22" t="s">
        <v>267</v>
      </c>
      <c r="B23" s="15">
        <f>Indicadores!B11</f>
        <v>149.80000000000001</v>
      </c>
    </row>
    <row r="24" spans="1:6" x14ac:dyDescent="0.35">
      <c r="A24" s="22" t="s">
        <v>286</v>
      </c>
      <c r="B24" s="15">
        <f>Indicadores!B12</f>
        <v>1797.6000000000001</v>
      </c>
    </row>
    <row r="25" spans="1:6" x14ac:dyDescent="0.35">
      <c r="A25" s="22" t="s">
        <v>268</v>
      </c>
      <c r="B25" s="21">
        <f>Indicadores!B13</f>
        <v>8500</v>
      </c>
    </row>
    <row r="26" spans="1:6" x14ac:dyDescent="0.35">
      <c r="A26" s="22" t="s">
        <v>288</v>
      </c>
      <c r="B26" s="23">
        <f>Indicadores!B14</f>
        <v>41</v>
      </c>
    </row>
    <row r="27" spans="1:6" x14ac:dyDescent="0.35">
      <c r="A27" s="22" t="s">
        <v>409</v>
      </c>
      <c r="B27" s="14">
        <f>Indicadores!B8</f>
        <v>1</v>
      </c>
    </row>
    <row r="28" spans="1:6" x14ac:dyDescent="0.35">
      <c r="A28" s="22" t="s">
        <v>410</v>
      </c>
      <c r="B28" s="14">
        <f>Indicadores!B15</f>
        <v>4</v>
      </c>
    </row>
    <row r="30" spans="1:6" ht="19.5" customHeight="1" x14ac:dyDescent="0.35">
      <c r="A30" s="32" t="s">
        <v>411</v>
      </c>
      <c r="B30" s="32"/>
      <c r="C30" s="32"/>
      <c r="D30" s="32"/>
      <c r="E30" s="32"/>
      <c r="F30" s="32"/>
    </row>
    <row r="31" spans="1:6" x14ac:dyDescent="0.35">
      <c r="A31" s="22" t="s">
        <v>292</v>
      </c>
      <c r="B31" s="15">
        <f>Indicadores!B19</f>
        <v>166</v>
      </c>
    </row>
    <row r="32" spans="1:6" x14ac:dyDescent="0.35">
      <c r="A32" s="22" t="s">
        <v>293</v>
      </c>
      <c r="B32" s="15">
        <f>Indicadores!B20</f>
        <v>16.2</v>
      </c>
    </row>
    <row r="33" spans="1:6" x14ac:dyDescent="0.35">
      <c r="A33" s="22" t="s">
        <v>294</v>
      </c>
      <c r="B33" s="15">
        <f>Indicadores!B21</f>
        <v>149.80000000000001</v>
      </c>
    </row>
    <row r="34" spans="1:6" x14ac:dyDescent="0.35">
      <c r="A34" s="22" t="s">
        <v>286</v>
      </c>
      <c r="B34" s="15">
        <f>Indicadores!B22</f>
        <v>1797.6000000000001</v>
      </c>
    </row>
    <row r="35" spans="1:6" x14ac:dyDescent="0.35">
      <c r="A35" s="22" t="s">
        <v>412</v>
      </c>
      <c r="B35" s="24">
        <f>Indicadores!B23</f>
        <v>0.90240963855421696</v>
      </c>
    </row>
    <row r="36" spans="1:6" x14ac:dyDescent="0.35">
      <c r="A36" s="22" t="s">
        <v>296</v>
      </c>
      <c r="B36" s="14">
        <f>Indicadores!B24</f>
        <v>5</v>
      </c>
    </row>
    <row r="38" spans="1:6" ht="19.5" customHeight="1" x14ac:dyDescent="0.35">
      <c r="A38" s="32" t="s">
        <v>413</v>
      </c>
      <c r="B38" s="32"/>
      <c r="C38" s="32"/>
      <c r="D38" s="32"/>
      <c r="E38" s="32"/>
      <c r="F38" s="32"/>
    </row>
    <row r="39" spans="1:6" x14ac:dyDescent="0.35">
      <c r="A39" s="1" t="s">
        <v>27</v>
      </c>
      <c r="B39" s="1" t="s">
        <v>298</v>
      </c>
      <c r="C39" s="1" t="s">
        <v>282</v>
      </c>
      <c r="D39" s="1" t="s">
        <v>299</v>
      </c>
      <c r="E39" s="1" t="s">
        <v>49</v>
      </c>
      <c r="F39" s="1" t="s">
        <v>300</v>
      </c>
    </row>
    <row r="40" spans="1:6" x14ac:dyDescent="0.35">
      <c r="A40" s="16" t="str">
        <f>Indicadores!A28</f>
        <v>José Victor (JV)</v>
      </c>
      <c r="B40" s="25">
        <f>Indicadores!B28</f>
        <v>0</v>
      </c>
      <c r="C40" s="25">
        <f>Indicadores!C28</f>
        <v>0</v>
      </c>
      <c r="D40" s="26">
        <f>Indicadores!D28</f>
        <v>0</v>
      </c>
      <c r="E40" s="26">
        <f>Indicadores!E28</f>
        <v>0</v>
      </c>
      <c r="F40" s="25">
        <f>Indicadores!F28</f>
        <v>0</v>
      </c>
    </row>
    <row r="41" spans="1:6" x14ac:dyDescent="0.35">
      <c r="A41" s="16" t="str">
        <f>Indicadores!A29</f>
        <v>Viviane Lima (VL)</v>
      </c>
      <c r="B41" s="25">
        <f>Indicadores!B29</f>
        <v>0</v>
      </c>
      <c r="C41" s="25">
        <f>Indicadores!C29</f>
        <v>0</v>
      </c>
      <c r="D41" s="26">
        <f>Indicadores!D29</f>
        <v>0</v>
      </c>
      <c r="E41" s="26">
        <f>Indicadores!E29</f>
        <v>0</v>
      </c>
      <c r="F41" s="25">
        <f>Indicadores!F29</f>
        <v>0</v>
      </c>
    </row>
    <row r="42" spans="1:6" x14ac:dyDescent="0.35">
      <c r="A42" s="16" t="str">
        <f>Indicadores!A30</f>
        <v>Juliana Santos (JS)</v>
      </c>
      <c r="B42" s="25">
        <f>Indicadores!B30</f>
        <v>0</v>
      </c>
      <c r="C42" s="25">
        <f>Indicadores!C30</f>
        <v>0</v>
      </c>
      <c r="D42" s="26">
        <f>Indicadores!D30</f>
        <v>0</v>
      </c>
      <c r="E42" s="26">
        <f>Indicadores!E30</f>
        <v>0</v>
      </c>
      <c r="F42" s="25">
        <f>Indicadores!F30</f>
        <v>0</v>
      </c>
    </row>
    <row r="43" spans="1:6" x14ac:dyDescent="0.35">
      <c r="A43" s="16" t="str">
        <f>Indicadores!A31</f>
        <v>Filipe Messias (FM)</v>
      </c>
      <c r="B43" s="25">
        <f>Indicadores!B31</f>
        <v>8</v>
      </c>
      <c r="C43" s="25">
        <f>Indicadores!C31</f>
        <v>4</v>
      </c>
      <c r="D43" s="26">
        <f>Indicadores!D31</f>
        <v>80</v>
      </c>
      <c r="E43" s="26">
        <f>Indicadores!E31</f>
        <v>149.80000000000001</v>
      </c>
      <c r="F43" s="25">
        <f>Indicadores!F31</f>
        <v>0</v>
      </c>
    </row>
    <row r="45" spans="1:6" ht="19.5" customHeight="1" x14ac:dyDescent="0.35">
      <c r="A45" s="32" t="s">
        <v>414</v>
      </c>
      <c r="B45" s="32"/>
      <c r="C45" s="32"/>
      <c r="D45" s="32"/>
      <c r="E45" s="32"/>
      <c r="F45" s="32"/>
    </row>
    <row r="46" spans="1:6" x14ac:dyDescent="0.35">
      <c r="A46" s="1" t="s">
        <v>309</v>
      </c>
      <c r="B46" s="1" t="s">
        <v>307</v>
      </c>
      <c r="C46" s="1" t="s">
        <v>282</v>
      </c>
      <c r="D46" s="1" t="s">
        <v>299</v>
      </c>
      <c r="E46" s="1" t="s">
        <v>49</v>
      </c>
    </row>
    <row r="47" spans="1:6" x14ac:dyDescent="0.35">
      <c r="A47" s="16" t="str">
        <f>Indicadores!A35</f>
        <v>Governança</v>
      </c>
      <c r="B47" s="25">
        <f>Indicadores!B35</f>
        <v>1</v>
      </c>
      <c r="C47" s="25">
        <f>Indicadores!C35</f>
        <v>0</v>
      </c>
      <c r="D47" s="26">
        <f>Indicadores!D35</f>
        <v>8</v>
      </c>
      <c r="E47" s="26">
        <f>Indicadores!E35</f>
        <v>0</v>
      </c>
    </row>
    <row r="48" spans="1:6" x14ac:dyDescent="0.35">
      <c r="A48" s="16" t="str">
        <f>Indicadores!A36</f>
        <v>Melhoria Contínua</v>
      </c>
      <c r="B48" s="25">
        <f>Indicadores!B36</f>
        <v>1</v>
      </c>
      <c r="C48" s="25">
        <f>Indicadores!C36</f>
        <v>0</v>
      </c>
      <c r="D48" s="26">
        <f>Indicadores!D36</f>
        <v>0</v>
      </c>
      <c r="E48" s="26">
        <f>Indicadores!E36</f>
        <v>0</v>
      </c>
    </row>
    <row r="49" spans="1:6" x14ac:dyDescent="0.35">
      <c r="A49" s="16" t="str">
        <f>Indicadores!A37</f>
        <v>Transformação Digital</v>
      </c>
      <c r="B49" s="25">
        <f>Indicadores!B37</f>
        <v>5</v>
      </c>
      <c r="C49" s="25">
        <f>Indicadores!C37</f>
        <v>3</v>
      </c>
      <c r="D49" s="26">
        <f>Indicadores!D37</f>
        <v>48</v>
      </c>
      <c r="E49" s="26">
        <f>Indicadores!E37</f>
        <v>135.80000000000001</v>
      </c>
    </row>
    <row r="50" spans="1:6" x14ac:dyDescent="0.35">
      <c r="A50" s="16" t="str">
        <f>Indicadores!A38</f>
        <v>Business Intelligence</v>
      </c>
      <c r="B50" s="25">
        <f>Indicadores!B38</f>
        <v>1</v>
      </c>
      <c r="C50" s="25">
        <f>Indicadores!C38</f>
        <v>1</v>
      </c>
      <c r="D50" s="26">
        <f>Indicadores!D38</f>
        <v>24</v>
      </c>
      <c r="E50" s="26">
        <f>Indicadores!E38</f>
        <v>14</v>
      </c>
    </row>
    <row r="51" spans="1:6" x14ac:dyDescent="0.35">
      <c r="A51" s="16" t="str">
        <f>Indicadores!A39</f>
        <v>PMO / Projetos</v>
      </c>
      <c r="B51" s="25">
        <f>Indicadores!B39</f>
        <v>0</v>
      </c>
      <c r="C51" s="25">
        <f>Indicadores!C39</f>
        <v>0</v>
      </c>
      <c r="D51" s="26">
        <f>Indicadores!D39</f>
        <v>0</v>
      </c>
      <c r="E51" s="26">
        <f>Indicadores!E39</f>
        <v>0</v>
      </c>
    </row>
    <row r="52" spans="1:6" x14ac:dyDescent="0.35">
      <c r="A52" s="16" t="str">
        <f>Indicadores!A40</f>
        <v>Operação (Rotina)</v>
      </c>
      <c r="B52" s="25">
        <f>Indicadores!B40</f>
        <v>0</v>
      </c>
      <c r="C52" s="25">
        <f>Indicadores!C40</f>
        <v>0</v>
      </c>
      <c r="D52" s="26">
        <f>Indicadores!D40</f>
        <v>0</v>
      </c>
      <c r="E52" s="26">
        <f>Indicadores!E40</f>
        <v>0</v>
      </c>
    </row>
    <row r="54" spans="1:6" ht="19.5" customHeight="1" x14ac:dyDescent="0.35">
      <c r="A54" s="32" t="s">
        <v>415</v>
      </c>
      <c r="B54" s="32"/>
      <c r="C54" s="32"/>
      <c r="D54" s="32"/>
      <c r="E54" s="32"/>
      <c r="F54" s="32"/>
    </row>
    <row r="55" spans="1:6" x14ac:dyDescent="0.35">
      <c r="A55" s="1" t="s">
        <v>416</v>
      </c>
      <c r="B55" s="1" t="s">
        <v>307</v>
      </c>
      <c r="C55" s="1" t="s">
        <v>282</v>
      </c>
      <c r="D55" s="1" t="s">
        <v>299</v>
      </c>
      <c r="E55" s="1" t="s">
        <v>49</v>
      </c>
    </row>
    <row r="56" spans="1:6" x14ac:dyDescent="0.35">
      <c r="A56" s="16" t="str">
        <f>Indicadores!A79</f>
        <v>Contas a Receber</v>
      </c>
      <c r="B56" s="25">
        <f>Indicadores!B79</f>
        <v>0</v>
      </c>
      <c r="C56" s="25">
        <f>Indicadores!C79</f>
        <v>0</v>
      </c>
      <c r="D56" s="26">
        <f>Indicadores!D79</f>
        <v>0</v>
      </c>
      <c r="E56" s="26">
        <f>Indicadores!E79</f>
        <v>0</v>
      </c>
    </row>
    <row r="57" spans="1:6" x14ac:dyDescent="0.35">
      <c r="A57" s="16" t="str">
        <f>Indicadores!A80</f>
        <v>Tesouraria</v>
      </c>
      <c r="B57" s="25">
        <f>Indicadores!B80</f>
        <v>2</v>
      </c>
      <c r="C57" s="25">
        <f>Indicadores!C80</f>
        <v>2</v>
      </c>
      <c r="D57" s="26">
        <f>Indicadores!D80</f>
        <v>24</v>
      </c>
      <c r="E57" s="26">
        <f>Indicadores!E80</f>
        <v>72</v>
      </c>
    </row>
    <row r="58" spans="1:6" x14ac:dyDescent="0.35">
      <c r="A58" s="16" t="str">
        <f>Indicadores!A81</f>
        <v>Auditoria Financeira CSC</v>
      </c>
      <c r="B58" s="25">
        <f>Indicadores!B81</f>
        <v>0</v>
      </c>
      <c r="C58" s="25">
        <f>Indicadores!C81</f>
        <v>0</v>
      </c>
      <c r="D58" s="26">
        <f>Indicadores!D81</f>
        <v>0</v>
      </c>
      <c r="E58" s="26">
        <f>Indicadores!E81</f>
        <v>0</v>
      </c>
    </row>
    <row r="59" spans="1:6" x14ac:dyDescent="0.35">
      <c r="A59" s="16" t="str">
        <f>Indicadores!A82</f>
        <v>Recebimento Fiscal</v>
      </c>
      <c r="B59" s="25">
        <f>Indicadores!B82</f>
        <v>2</v>
      </c>
      <c r="C59" s="25">
        <f>Indicadores!C82</f>
        <v>0</v>
      </c>
      <c r="D59" s="26">
        <f>Indicadores!D82</f>
        <v>16</v>
      </c>
      <c r="E59" s="26">
        <f>Indicadores!E82</f>
        <v>4.8</v>
      </c>
    </row>
    <row r="60" spans="1:6" x14ac:dyDescent="0.35">
      <c r="A60" s="16" t="str">
        <f>Indicadores!A83</f>
        <v>Processos Integrados</v>
      </c>
      <c r="B60" s="25">
        <f>Indicadores!B83</f>
        <v>1</v>
      </c>
      <c r="C60" s="25">
        <f>Indicadores!C83</f>
        <v>1</v>
      </c>
      <c r="D60" s="26">
        <f>Indicadores!D83</f>
        <v>24</v>
      </c>
      <c r="E60" s="26">
        <f>Indicadores!E83</f>
        <v>14</v>
      </c>
    </row>
    <row r="61" spans="1:6" x14ac:dyDescent="0.35">
      <c r="A61" s="16" t="str">
        <f>Indicadores!A84</f>
        <v>Cartão Corporativo</v>
      </c>
      <c r="B61" s="25">
        <f>Indicadores!B84</f>
        <v>0</v>
      </c>
      <c r="C61" s="25">
        <f>Indicadores!C84</f>
        <v>0</v>
      </c>
      <c r="D61" s="26">
        <f>Indicadores!D84</f>
        <v>0</v>
      </c>
      <c r="E61" s="26">
        <f>Indicadores!E84</f>
        <v>0</v>
      </c>
    </row>
    <row r="62" spans="1:6" x14ac:dyDescent="0.35">
      <c r="A62" s="16" t="str">
        <f>Indicadores!A85</f>
        <v>Tributos Federais</v>
      </c>
      <c r="B62" s="25">
        <f>Indicadores!B85</f>
        <v>2</v>
      </c>
      <c r="C62" s="25">
        <f>Indicadores!C85</f>
        <v>1</v>
      </c>
      <c r="D62" s="26">
        <f>Indicadores!D85</f>
        <v>8</v>
      </c>
      <c r="E62" s="26">
        <f>Indicadores!E85</f>
        <v>59</v>
      </c>
    </row>
    <row r="63" spans="1:6" x14ac:dyDescent="0.35">
      <c r="A63" s="16" t="str">
        <f>Indicadores!A86</f>
        <v>Tributos Estaduais</v>
      </c>
      <c r="B63" s="25">
        <f>Indicadores!B86</f>
        <v>0</v>
      </c>
      <c r="C63" s="25">
        <f>Indicadores!C86</f>
        <v>0</v>
      </c>
      <c r="D63" s="26">
        <f>Indicadores!D86</f>
        <v>0</v>
      </c>
      <c r="E63" s="26">
        <f>Indicadores!E86</f>
        <v>0</v>
      </c>
    </row>
    <row r="64" spans="1:6" x14ac:dyDescent="0.35">
      <c r="A64" s="16" t="str">
        <f>Indicadores!A87</f>
        <v>Contabilidade</v>
      </c>
      <c r="B64" s="25">
        <f>Indicadores!B87</f>
        <v>0</v>
      </c>
      <c r="C64" s="25">
        <f>Indicadores!C87</f>
        <v>0</v>
      </c>
      <c r="D64" s="26">
        <f>Indicadores!D87</f>
        <v>0</v>
      </c>
      <c r="E64" s="26">
        <f>Indicadores!E87</f>
        <v>0</v>
      </c>
    </row>
    <row r="65" spans="1:6" x14ac:dyDescent="0.35">
      <c r="A65" s="16" t="str">
        <f>Indicadores!A88</f>
        <v>Faturamento</v>
      </c>
      <c r="B65" s="25">
        <f>Indicadores!B88</f>
        <v>0</v>
      </c>
      <c r="C65" s="25">
        <f>Indicadores!C88</f>
        <v>0</v>
      </c>
      <c r="D65" s="26">
        <f>Indicadores!D88</f>
        <v>0</v>
      </c>
      <c r="E65" s="26">
        <f>Indicadores!E88</f>
        <v>0</v>
      </c>
    </row>
    <row r="66" spans="1:6" x14ac:dyDescent="0.35">
      <c r="A66" s="16" t="str">
        <f>Indicadores!A89</f>
        <v>CSC Corporativo</v>
      </c>
      <c r="B66" s="25">
        <f>Indicadores!B89</f>
        <v>0</v>
      </c>
      <c r="C66" s="25">
        <f>Indicadores!C89</f>
        <v>0</v>
      </c>
      <c r="D66" s="26">
        <f>Indicadores!D89</f>
        <v>0</v>
      </c>
      <c r="E66" s="26">
        <f>Indicadores!E89</f>
        <v>0</v>
      </c>
    </row>
    <row r="67" spans="1:6" x14ac:dyDescent="0.35">
      <c r="A67" s="16" t="str">
        <f>Indicadores!A90</f>
        <v>Gestão</v>
      </c>
      <c r="B67" s="25">
        <f>Indicadores!B90</f>
        <v>1</v>
      </c>
      <c r="C67" s="25">
        <f>Indicadores!C90</f>
        <v>0</v>
      </c>
      <c r="D67" s="26">
        <f>Indicadores!D90</f>
        <v>8</v>
      </c>
      <c r="E67" s="26">
        <f>Indicadores!E90</f>
        <v>0</v>
      </c>
    </row>
    <row r="69" spans="1:6" ht="19.5" customHeight="1" x14ac:dyDescent="0.35">
      <c r="A69" s="32" t="s">
        <v>417</v>
      </c>
      <c r="B69" s="32"/>
      <c r="C69" s="32"/>
      <c r="D69" s="32"/>
      <c r="E69" s="32"/>
      <c r="F69" s="32"/>
    </row>
    <row r="70" spans="1:6" x14ac:dyDescent="0.35">
      <c r="A70" s="22" t="s">
        <v>338</v>
      </c>
      <c r="B70" s="14">
        <f>Indicadores!B93</f>
        <v>2</v>
      </c>
    </row>
    <row r="71" spans="1:6" x14ac:dyDescent="0.35">
      <c r="A71" s="22" t="s">
        <v>282</v>
      </c>
      <c r="B71" s="14">
        <f>Indicadores!B94</f>
        <v>0</v>
      </c>
    </row>
    <row r="72" spans="1:6" x14ac:dyDescent="0.35">
      <c r="A72" s="22" t="s">
        <v>340</v>
      </c>
      <c r="B72" s="14">
        <f>Indicadores!B95</f>
        <v>1</v>
      </c>
    </row>
    <row r="73" spans="1:6" x14ac:dyDescent="0.35">
      <c r="A73" s="22" t="s">
        <v>418</v>
      </c>
      <c r="B73" s="14">
        <f>Indicadores!B96</f>
        <v>0</v>
      </c>
    </row>
    <row r="74" spans="1:6" x14ac:dyDescent="0.35">
      <c r="A74" s="22" t="s">
        <v>419</v>
      </c>
      <c r="B74" s="14">
        <f>Indicadores!B97</f>
        <v>0</v>
      </c>
    </row>
    <row r="75" spans="1:6" x14ac:dyDescent="0.35">
      <c r="A75" s="22" t="s">
        <v>267</v>
      </c>
      <c r="B75" s="15">
        <f>Indicadores!B99</f>
        <v>63.8</v>
      </c>
    </row>
    <row r="77" spans="1:6" ht="19.5" customHeight="1" x14ac:dyDescent="0.35">
      <c r="A77" s="32" t="s">
        <v>420</v>
      </c>
      <c r="B77" s="32"/>
      <c r="C77" s="32"/>
      <c r="D77" s="32"/>
      <c r="E77" s="32"/>
      <c r="F77" s="32"/>
    </row>
    <row r="78" spans="1:6" x14ac:dyDescent="0.35">
      <c r="A78" s="22" t="s">
        <v>338</v>
      </c>
      <c r="B78" s="14">
        <f>Indicadores!B102</f>
        <v>1</v>
      </c>
    </row>
    <row r="79" spans="1:6" x14ac:dyDescent="0.35">
      <c r="A79" s="22" t="s">
        <v>282</v>
      </c>
      <c r="B79" s="14">
        <f>Indicadores!B103</f>
        <v>1</v>
      </c>
    </row>
    <row r="80" spans="1:6" x14ac:dyDescent="0.35">
      <c r="A80" s="22" t="s">
        <v>421</v>
      </c>
      <c r="B80" s="23">
        <f>Indicadores!B109</f>
        <v>0</v>
      </c>
    </row>
    <row r="81" spans="1:6" x14ac:dyDescent="0.35">
      <c r="A81" s="22" t="s">
        <v>422</v>
      </c>
      <c r="B81" s="23">
        <f>Indicadores!B110</f>
        <v>0</v>
      </c>
    </row>
    <row r="82" spans="1:6" x14ac:dyDescent="0.35">
      <c r="A82" s="22" t="s">
        <v>418</v>
      </c>
      <c r="B82" s="14">
        <f>Indicadores!B105</f>
        <v>0</v>
      </c>
    </row>
    <row r="83" spans="1:6" x14ac:dyDescent="0.35">
      <c r="A83" s="22" t="s">
        <v>419</v>
      </c>
      <c r="B83" s="14">
        <f>Indicadores!B106</f>
        <v>2</v>
      </c>
    </row>
    <row r="84" spans="1:6" x14ac:dyDescent="0.35">
      <c r="A84" s="22" t="s">
        <v>267</v>
      </c>
      <c r="B84" s="15">
        <f>Indicadores!B108</f>
        <v>86</v>
      </c>
    </row>
    <row r="86" spans="1:6" ht="19.5" customHeight="1" x14ac:dyDescent="0.35">
      <c r="A86" s="32" t="s">
        <v>423</v>
      </c>
      <c r="B86" s="32"/>
      <c r="C86" s="32"/>
      <c r="D86" s="32"/>
      <c r="E86" s="32"/>
      <c r="F86" s="32"/>
    </row>
    <row r="87" spans="1:6" x14ac:dyDescent="0.35">
      <c r="A87" s="1" t="s">
        <v>32</v>
      </c>
      <c r="B87" s="1" t="s">
        <v>307</v>
      </c>
      <c r="C87" s="1" t="s">
        <v>282</v>
      </c>
      <c r="D87" s="1" t="s">
        <v>299</v>
      </c>
      <c r="E87" s="1" t="s">
        <v>49</v>
      </c>
      <c r="F87" s="1" t="s">
        <v>348</v>
      </c>
    </row>
    <row r="88" spans="1:6" x14ac:dyDescent="0.35">
      <c r="A88" s="16" t="str">
        <f>Indicadores!A114</f>
        <v>Lumen</v>
      </c>
      <c r="B88" s="25">
        <f>Indicadores!B114</f>
        <v>1</v>
      </c>
      <c r="C88" s="25">
        <f>Indicadores!C114</f>
        <v>1</v>
      </c>
      <c r="D88" s="26">
        <f>Indicadores!D114</f>
        <v>8</v>
      </c>
      <c r="E88" s="26">
        <f>Indicadores!E114</f>
        <v>59</v>
      </c>
      <c r="F88" s="29">
        <f>Indicadores!F114</f>
        <v>0</v>
      </c>
    </row>
    <row r="89" spans="1:6" x14ac:dyDescent="0.35">
      <c r="A89" s="16" t="str">
        <f>Indicadores!A115</f>
        <v>V360</v>
      </c>
      <c r="B89" s="25">
        <f>Indicadores!B115</f>
        <v>2</v>
      </c>
      <c r="C89" s="25">
        <f>Indicadores!C115</f>
        <v>1</v>
      </c>
      <c r="D89" s="26">
        <f>Indicadores!D115</f>
        <v>24</v>
      </c>
      <c r="E89" s="26">
        <f>Indicadores!E115</f>
        <v>14</v>
      </c>
      <c r="F89" s="29">
        <f>Indicadores!F115</f>
        <v>0</v>
      </c>
    </row>
    <row r="90" spans="1:6" x14ac:dyDescent="0.35">
      <c r="A90" s="16" t="str">
        <f>Indicadores!A116</f>
        <v>Saneamento Base Contábil</v>
      </c>
      <c r="B90" s="25">
        <f>Indicadores!B116</f>
        <v>1</v>
      </c>
      <c r="C90" s="25">
        <f>Indicadores!C116</f>
        <v>1</v>
      </c>
      <c r="D90" s="26">
        <f>Indicadores!D116</f>
        <v>12</v>
      </c>
      <c r="E90" s="26">
        <f>Indicadores!E116</f>
        <v>56</v>
      </c>
      <c r="F90" s="29">
        <f>Indicadores!F116</f>
        <v>0</v>
      </c>
    </row>
    <row r="91" spans="1:6" x14ac:dyDescent="0.35">
      <c r="A91" s="16" t="str">
        <f>Indicadores!A117</f>
        <v>Newsletter</v>
      </c>
      <c r="B91" s="25">
        <f>Indicadores!B117</f>
        <v>1</v>
      </c>
      <c r="C91" s="25">
        <f>Indicadores!C117</f>
        <v>0</v>
      </c>
      <c r="D91" s="26">
        <f>Indicadores!D117</f>
        <v>8</v>
      </c>
      <c r="E91" s="26">
        <f>Indicadores!E117</f>
        <v>0</v>
      </c>
      <c r="F91" s="29">
        <f>Indicadores!F117</f>
        <v>0</v>
      </c>
    </row>
    <row r="92" spans="1:6" x14ac:dyDescent="0.35">
      <c r="A92" s="16" t="str">
        <f>Indicadores!A118</f>
        <v>Rotina Fiscal/Contábil</v>
      </c>
      <c r="B92" s="25">
        <f>Indicadores!B118</f>
        <v>2</v>
      </c>
      <c r="C92" s="25">
        <f>Indicadores!C118</f>
        <v>0</v>
      </c>
      <c r="D92" s="26">
        <f>Indicadores!D118</f>
        <v>16</v>
      </c>
      <c r="E92" s="26">
        <f>Indicadores!E118</f>
        <v>4.8</v>
      </c>
      <c r="F92" s="29">
        <f>Indicadores!F118</f>
        <v>0</v>
      </c>
    </row>
    <row r="93" spans="1:6" x14ac:dyDescent="0.35">
      <c r="A93" s="16" t="str">
        <f>Indicadores!A119</f>
        <v>Rotina Financeiro</v>
      </c>
      <c r="B93" s="25">
        <f>Indicadores!B119</f>
        <v>1</v>
      </c>
      <c r="C93" s="25">
        <f>Indicadores!C119</f>
        <v>1</v>
      </c>
      <c r="D93" s="26">
        <f>Indicadores!D119</f>
        <v>12</v>
      </c>
      <c r="E93" s="26">
        <f>Indicadores!E119</f>
        <v>16</v>
      </c>
      <c r="F93" s="29">
        <f>Indicadores!F119</f>
        <v>8500</v>
      </c>
    </row>
    <row r="94" spans="1:6" x14ac:dyDescent="0.35">
      <c r="A94" s="16" t="str">
        <f>Indicadores!A120</f>
        <v>Investidas</v>
      </c>
      <c r="B94" s="25">
        <f>Indicadores!B120</f>
        <v>0</v>
      </c>
      <c r="C94" s="25">
        <f>Indicadores!C120</f>
        <v>0</v>
      </c>
      <c r="D94" s="26">
        <f>Indicadores!D120</f>
        <v>0</v>
      </c>
      <c r="E94" s="26">
        <f>Indicadores!E120</f>
        <v>0</v>
      </c>
      <c r="F94" s="29">
        <f>Indicadores!F120</f>
        <v>0</v>
      </c>
    </row>
    <row r="95" spans="1:6" x14ac:dyDescent="0.35">
      <c r="A95" s="16" t="str">
        <f>Indicadores!A121</f>
        <v>Actio</v>
      </c>
      <c r="B95" s="25">
        <f>Indicadores!B121</f>
        <v>0</v>
      </c>
      <c r="C95" s="25">
        <f>Indicadores!C121</f>
        <v>0</v>
      </c>
      <c r="D95" s="26">
        <f>Indicadores!D121</f>
        <v>0</v>
      </c>
      <c r="E95" s="26">
        <f>Indicadores!E121</f>
        <v>0</v>
      </c>
      <c r="F95" s="29">
        <f>Indicadores!F121</f>
        <v>0</v>
      </c>
    </row>
    <row r="96" spans="1:6" x14ac:dyDescent="0.35">
      <c r="A96" s="16" t="str">
        <f>Indicadores!A122</f>
        <v>Indicadores e Metas</v>
      </c>
      <c r="B96" s="25">
        <f>Indicadores!B122</f>
        <v>0</v>
      </c>
      <c r="C96" s="25">
        <f>Indicadores!C122</f>
        <v>0</v>
      </c>
      <c r="D96" s="26">
        <f>Indicadores!D122</f>
        <v>0</v>
      </c>
      <c r="E96" s="26">
        <f>Indicadores!E122</f>
        <v>0</v>
      </c>
      <c r="F96" s="29">
        <f>Indicadores!F122</f>
        <v>0</v>
      </c>
    </row>
    <row r="97" spans="1:6" x14ac:dyDescent="0.35">
      <c r="A97" s="40" t="s">
        <v>424</v>
      </c>
      <c r="B97" s="40"/>
      <c r="C97" s="40"/>
      <c r="D97" s="40"/>
      <c r="E97" s="40"/>
      <c r="F97" s="40"/>
    </row>
    <row r="99" spans="1:6" ht="19.5" customHeight="1" x14ac:dyDescent="0.35">
      <c r="A99" s="32" t="s">
        <v>425</v>
      </c>
      <c r="B99" s="32"/>
      <c r="C99" s="32"/>
      <c r="D99" s="32"/>
      <c r="E99" s="32"/>
      <c r="F99" s="32"/>
    </row>
    <row r="100" spans="1:6" ht="15" customHeight="1" x14ac:dyDescent="0.35">
      <c r="A100" s="41" t="s">
        <v>426</v>
      </c>
      <c r="B100" s="41"/>
      <c r="C100" s="41"/>
      <c r="D100" s="41"/>
      <c r="E100" s="41"/>
      <c r="F100" s="41"/>
    </row>
    <row r="101" spans="1:6" x14ac:dyDescent="0.35">
      <c r="A101" s="41"/>
      <c r="B101" s="41"/>
      <c r="C101" s="41"/>
      <c r="D101" s="41"/>
      <c r="E101" s="41"/>
      <c r="F101" s="41"/>
    </row>
    <row r="102" spans="1:6" x14ac:dyDescent="0.35">
      <c r="A102" s="41"/>
      <c r="B102" s="41"/>
      <c r="C102" s="41"/>
      <c r="D102" s="41"/>
      <c r="E102" s="41"/>
      <c r="F102" s="41"/>
    </row>
    <row r="103" spans="1:6" x14ac:dyDescent="0.35">
      <c r="A103" s="41"/>
      <c r="B103" s="41"/>
      <c r="C103" s="41"/>
      <c r="D103" s="41"/>
      <c r="E103" s="41"/>
      <c r="F103" s="41"/>
    </row>
    <row r="104" spans="1:6" x14ac:dyDescent="0.35">
      <c r="A104" s="41"/>
      <c r="B104" s="41"/>
      <c r="C104" s="41"/>
      <c r="D104" s="41"/>
      <c r="E104" s="41"/>
      <c r="F104" s="41"/>
    </row>
  </sheetData>
  <mergeCells count="20">
    <mergeCell ref="A1:F2"/>
    <mergeCell ref="A3:F3"/>
    <mergeCell ref="B5:C5"/>
    <mergeCell ref="B6:C6"/>
    <mergeCell ref="B7:C7"/>
    <mergeCell ref="B8:C8"/>
    <mergeCell ref="B9:C9"/>
    <mergeCell ref="A11:F11"/>
    <mergeCell ref="A12:F17"/>
    <mergeCell ref="A19:F19"/>
    <mergeCell ref="A30:F30"/>
    <mergeCell ref="A38:F38"/>
    <mergeCell ref="A45:F45"/>
    <mergeCell ref="A54:F54"/>
    <mergeCell ref="A69:F69"/>
    <mergeCell ref="A77:F77"/>
    <mergeCell ref="A86:F86"/>
    <mergeCell ref="A97:F97"/>
    <mergeCell ref="A99:F99"/>
    <mergeCell ref="A100:F104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48"/>
  <sheetViews>
    <sheetView showGridLines="0" zoomScaleNormal="100" workbookViewId="0">
      <selection sqref="A1:BF1"/>
    </sheetView>
  </sheetViews>
  <sheetFormatPr defaultColWidth="8.6328125" defaultRowHeight="14.5" x14ac:dyDescent="0.35"/>
  <cols>
    <col min="1" max="7" width="15" customWidth="1"/>
    <col min="8" max="8" width="24" customWidth="1"/>
    <col min="9" max="9" width="15" customWidth="1"/>
    <col min="10" max="10" width="24" customWidth="1"/>
    <col min="11" max="11" width="19" customWidth="1"/>
    <col min="12" max="12" width="20" customWidth="1"/>
    <col min="13" max="13" width="24" customWidth="1"/>
    <col min="14" max="15" width="18" customWidth="1"/>
    <col min="16" max="17" width="24" customWidth="1"/>
    <col min="18" max="18" width="19" customWidth="1"/>
    <col min="19" max="19" width="15" customWidth="1"/>
    <col min="21" max="21" width="26" customWidth="1"/>
    <col min="22" max="22" width="15" customWidth="1"/>
    <col min="24" max="24" width="26" customWidth="1"/>
    <col min="25" max="25" width="15" customWidth="1"/>
    <col min="27" max="27" width="26" customWidth="1"/>
    <col min="28" max="28" width="15" customWidth="1"/>
    <col min="30" max="30" width="46" customWidth="1"/>
    <col min="31" max="32" width="30" customWidth="1"/>
    <col min="33" max="33" width="46" customWidth="1"/>
    <col min="34" max="38" width="30" customWidth="1"/>
    <col min="40" max="45" width="30" customWidth="1"/>
    <col min="47" max="58" width="26" customWidth="1"/>
  </cols>
  <sheetData>
    <row r="1" spans="1:58" ht="27.75" customHeight="1" x14ac:dyDescent="0.35">
      <c r="A1" s="34" t="s">
        <v>427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58" x14ac:dyDescent="0.35">
      <c r="A2" s="35" t="s">
        <v>428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</row>
    <row r="4" spans="1:58" x14ac:dyDescent="0.35">
      <c r="A4" s="2" t="s">
        <v>429</v>
      </c>
      <c r="B4" s="2" t="s">
        <v>430</v>
      </c>
      <c r="C4" s="2" t="s">
        <v>45</v>
      </c>
      <c r="D4" s="2" t="s">
        <v>44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431</v>
      </c>
      <c r="J4" s="2" t="s">
        <v>34</v>
      </c>
      <c r="K4" s="2" t="s">
        <v>432</v>
      </c>
      <c r="L4" s="2" t="s">
        <v>41</v>
      </c>
      <c r="M4" s="2" t="s">
        <v>433</v>
      </c>
      <c r="N4" s="2" t="s">
        <v>210</v>
      </c>
      <c r="O4" s="2" t="s">
        <v>211</v>
      </c>
      <c r="P4" s="2" t="s">
        <v>434</v>
      </c>
      <c r="Q4" s="2" t="s">
        <v>435</v>
      </c>
      <c r="R4" s="2" t="s">
        <v>436</v>
      </c>
      <c r="S4" s="2" t="s">
        <v>437</v>
      </c>
      <c r="U4" s="2" t="s">
        <v>438</v>
      </c>
      <c r="V4" s="2" t="s">
        <v>439</v>
      </c>
      <c r="X4" s="2" t="s">
        <v>440</v>
      </c>
      <c r="Y4" s="2" t="s">
        <v>441</v>
      </c>
      <c r="AA4" s="2" t="s">
        <v>442</v>
      </c>
      <c r="AB4" s="2" t="s">
        <v>443</v>
      </c>
      <c r="AD4" s="3" t="s">
        <v>66</v>
      </c>
      <c r="AE4" s="3" t="s">
        <v>130</v>
      </c>
      <c r="AF4" s="3" t="s">
        <v>88</v>
      </c>
      <c r="AG4" s="3" t="s">
        <v>112</v>
      </c>
      <c r="AH4" s="3" t="s">
        <v>144</v>
      </c>
      <c r="AI4" s="3" t="s">
        <v>102</v>
      </c>
      <c r="AJ4" s="3" t="s">
        <v>349</v>
      </c>
      <c r="AK4" s="3" t="s">
        <v>181</v>
      </c>
      <c r="AL4" s="3" t="s">
        <v>191</v>
      </c>
      <c r="AN4" s="3" t="s">
        <v>114</v>
      </c>
      <c r="AO4" s="3" t="s">
        <v>132</v>
      </c>
      <c r="AP4" s="3" t="s">
        <v>68</v>
      </c>
      <c r="AQ4" s="3" t="s">
        <v>165</v>
      </c>
      <c r="AR4" s="3" t="s">
        <v>183</v>
      </c>
      <c r="AS4" s="3" t="s">
        <v>175</v>
      </c>
      <c r="AU4" s="3" t="s">
        <v>333</v>
      </c>
      <c r="AV4" s="3" t="s">
        <v>93</v>
      </c>
      <c r="AW4" s="3" t="s">
        <v>334</v>
      </c>
      <c r="AX4" s="3" t="s">
        <v>136</v>
      </c>
      <c r="AY4" s="3" t="s">
        <v>169</v>
      </c>
      <c r="AZ4" s="3" t="s">
        <v>335</v>
      </c>
      <c r="BA4" s="3" t="s">
        <v>72</v>
      </c>
      <c r="BB4" s="3" t="s">
        <v>177</v>
      </c>
      <c r="BC4" s="3" t="s">
        <v>200</v>
      </c>
      <c r="BD4" s="3" t="s">
        <v>336</v>
      </c>
      <c r="BE4" s="3" t="s">
        <v>197</v>
      </c>
      <c r="BF4" s="3" t="s">
        <v>118</v>
      </c>
    </row>
    <row r="5" spans="1:58" x14ac:dyDescent="0.35">
      <c r="A5" s="16" t="s">
        <v>66</v>
      </c>
      <c r="B5" s="16" t="s">
        <v>111</v>
      </c>
      <c r="C5" s="16" t="s">
        <v>120</v>
      </c>
      <c r="D5" s="16" t="s">
        <v>96</v>
      </c>
      <c r="E5" s="16" t="s">
        <v>82</v>
      </c>
      <c r="F5" s="16" t="s">
        <v>82</v>
      </c>
      <c r="G5" s="16" t="s">
        <v>83</v>
      </c>
      <c r="H5" s="16" t="s">
        <v>99</v>
      </c>
      <c r="I5" s="16" t="s">
        <v>81</v>
      </c>
      <c r="J5" s="16" t="s">
        <v>114</v>
      </c>
      <c r="K5" s="16" t="s">
        <v>333</v>
      </c>
      <c r="L5" s="16" t="s">
        <v>75</v>
      </c>
      <c r="M5" s="16" t="s">
        <v>95</v>
      </c>
      <c r="N5" s="16" t="s">
        <v>444</v>
      </c>
      <c r="O5" s="16" t="s">
        <v>234</v>
      </c>
      <c r="P5" s="16" t="s">
        <v>445</v>
      </c>
      <c r="Q5" s="16" t="s">
        <v>446</v>
      </c>
      <c r="R5" s="16" t="s">
        <v>447</v>
      </c>
      <c r="S5" s="16" t="s">
        <v>448</v>
      </c>
      <c r="U5" s="16" t="s">
        <v>66</v>
      </c>
      <c r="V5" s="16" t="s">
        <v>449</v>
      </c>
      <c r="X5" s="16" t="s">
        <v>114</v>
      </c>
      <c r="Y5" s="16" t="s">
        <v>450</v>
      </c>
      <c r="AA5" s="16" t="s">
        <v>333</v>
      </c>
      <c r="AB5" s="16" t="s">
        <v>451</v>
      </c>
      <c r="AD5" s="16" t="s">
        <v>67</v>
      </c>
      <c r="AE5" s="16" t="s">
        <v>195</v>
      </c>
      <c r="AF5" s="16" t="s">
        <v>89</v>
      </c>
      <c r="AG5" s="16" t="s">
        <v>113</v>
      </c>
      <c r="AH5" s="16" t="s">
        <v>452</v>
      </c>
      <c r="AI5" s="16" t="s">
        <v>453</v>
      </c>
      <c r="AJ5" s="16" t="s">
        <v>384</v>
      </c>
      <c r="AK5" s="16" t="s">
        <v>384</v>
      </c>
      <c r="AL5" s="16" t="s">
        <v>384</v>
      </c>
      <c r="AN5" s="16" t="s">
        <v>310</v>
      </c>
      <c r="AO5" s="16" t="s">
        <v>133</v>
      </c>
      <c r="AP5" s="16" t="s">
        <v>90</v>
      </c>
      <c r="AQ5" s="16" t="s">
        <v>196</v>
      </c>
      <c r="AR5" s="16" t="s">
        <v>184</v>
      </c>
      <c r="AS5" s="16" t="s">
        <v>69</v>
      </c>
      <c r="AU5" s="16" t="s">
        <v>454</v>
      </c>
      <c r="AV5" s="16" t="s">
        <v>94</v>
      </c>
      <c r="AW5" s="16" t="s">
        <v>455</v>
      </c>
      <c r="AX5" s="16" t="s">
        <v>456</v>
      </c>
      <c r="AY5" s="16" t="s">
        <v>457</v>
      </c>
      <c r="AZ5" s="16" t="s">
        <v>458</v>
      </c>
      <c r="BA5" s="16" t="s">
        <v>190</v>
      </c>
      <c r="BB5" s="16" t="s">
        <v>178</v>
      </c>
      <c r="BC5" s="16" t="s">
        <v>201</v>
      </c>
      <c r="BD5" s="16" t="s">
        <v>459</v>
      </c>
      <c r="BE5" s="16" t="s">
        <v>198</v>
      </c>
      <c r="BF5" s="16" t="s">
        <v>185</v>
      </c>
    </row>
    <row r="6" spans="1:58" x14ac:dyDescent="0.35">
      <c r="A6" s="16" t="s">
        <v>130</v>
      </c>
      <c r="B6" s="16" t="s">
        <v>65</v>
      </c>
      <c r="C6" s="16" t="s">
        <v>186</v>
      </c>
      <c r="D6" s="16" t="s">
        <v>149</v>
      </c>
      <c r="E6" s="16" t="s">
        <v>124</v>
      </c>
      <c r="F6" s="16" t="s">
        <v>124</v>
      </c>
      <c r="G6" s="16" t="s">
        <v>126</v>
      </c>
      <c r="H6" s="16" t="s">
        <v>87</v>
      </c>
      <c r="I6" s="16" t="s">
        <v>74</v>
      </c>
      <c r="J6" s="16" t="s">
        <v>132</v>
      </c>
      <c r="K6" s="16" t="s">
        <v>93</v>
      </c>
      <c r="L6" s="16" t="s">
        <v>180</v>
      </c>
      <c r="M6" s="16" t="s">
        <v>187</v>
      </c>
      <c r="N6" s="16" t="s">
        <v>220</v>
      </c>
      <c r="O6" s="16" t="s">
        <v>460</v>
      </c>
      <c r="P6" s="16" t="s">
        <v>461</v>
      </c>
      <c r="Q6" s="16" t="s">
        <v>462</v>
      </c>
      <c r="R6" s="16" t="s">
        <v>463</v>
      </c>
      <c r="S6" s="16" t="s">
        <v>464</v>
      </c>
      <c r="U6" s="16" t="s">
        <v>130</v>
      </c>
      <c r="V6" s="16" t="s">
        <v>465</v>
      </c>
      <c r="X6" s="16" t="s">
        <v>132</v>
      </c>
      <c r="Y6" s="16" t="s">
        <v>466</v>
      </c>
      <c r="AA6" s="16" t="s">
        <v>93</v>
      </c>
      <c r="AB6" s="16" t="s">
        <v>467</v>
      </c>
      <c r="AD6" s="16" t="s">
        <v>351</v>
      </c>
      <c r="AE6" s="16" t="s">
        <v>164</v>
      </c>
      <c r="AF6" s="16" t="s">
        <v>199</v>
      </c>
      <c r="AG6" s="16" t="s">
        <v>188</v>
      </c>
      <c r="AH6" s="16" t="s">
        <v>189</v>
      </c>
      <c r="AI6" s="16" t="s">
        <v>103</v>
      </c>
      <c r="AJ6" s="16" t="s">
        <v>385</v>
      </c>
      <c r="AK6" s="16" t="s">
        <v>390</v>
      </c>
      <c r="AL6" s="16" t="s">
        <v>192</v>
      </c>
      <c r="AN6" s="16" t="s">
        <v>311</v>
      </c>
      <c r="AO6" s="16" t="s">
        <v>315</v>
      </c>
      <c r="AP6" s="16" t="s">
        <v>319</v>
      </c>
      <c r="AQ6" s="16" t="s">
        <v>166</v>
      </c>
      <c r="AR6" s="16" t="s">
        <v>325</v>
      </c>
      <c r="AS6" s="16" t="s">
        <v>328</v>
      </c>
      <c r="AU6" s="16" t="s">
        <v>468</v>
      </c>
      <c r="AV6" s="16" t="s">
        <v>469</v>
      </c>
      <c r="AW6" s="16" t="s">
        <v>470</v>
      </c>
      <c r="AX6" s="16" t="s">
        <v>471</v>
      </c>
      <c r="AY6" s="16" t="s">
        <v>95</v>
      </c>
      <c r="AZ6" s="16" t="s">
        <v>472</v>
      </c>
      <c r="BA6" s="16" t="s">
        <v>473</v>
      </c>
      <c r="BB6" s="16" t="s">
        <v>474</v>
      </c>
      <c r="BC6" s="16" t="s">
        <v>475</v>
      </c>
      <c r="BD6" s="16" t="s">
        <v>476</v>
      </c>
      <c r="BE6" s="16" t="s">
        <v>477</v>
      </c>
      <c r="BF6" s="16" t="s">
        <v>119</v>
      </c>
    </row>
    <row r="7" spans="1:58" x14ac:dyDescent="0.35">
      <c r="A7" s="16" t="s">
        <v>88</v>
      </c>
      <c r="B7" s="16" t="s">
        <v>87</v>
      </c>
      <c r="C7" s="16" t="s">
        <v>137</v>
      </c>
      <c r="D7" s="16" t="s">
        <v>478</v>
      </c>
      <c r="E7" s="16" t="s">
        <v>125</v>
      </c>
      <c r="F7" s="16" t="s">
        <v>125</v>
      </c>
      <c r="G7" s="16" t="s">
        <v>205</v>
      </c>
      <c r="H7" s="16" t="s">
        <v>84</v>
      </c>
      <c r="J7" s="16" t="s">
        <v>68</v>
      </c>
      <c r="K7" s="16" t="s">
        <v>334</v>
      </c>
      <c r="M7" s="16" t="s">
        <v>194</v>
      </c>
      <c r="N7" s="16" t="s">
        <v>235</v>
      </c>
      <c r="O7" s="16" t="s">
        <v>479</v>
      </c>
      <c r="P7" s="16" t="s">
        <v>480</v>
      </c>
      <c r="Q7" s="16" t="s">
        <v>481</v>
      </c>
      <c r="R7" s="16" t="s">
        <v>482</v>
      </c>
      <c r="S7" s="16" t="s">
        <v>483</v>
      </c>
      <c r="U7" s="16" t="s">
        <v>88</v>
      </c>
      <c r="V7" s="16" t="s">
        <v>484</v>
      </c>
      <c r="X7" s="16" t="s">
        <v>68</v>
      </c>
      <c r="Y7" s="16" t="s">
        <v>485</v>
      </c>
      <c r="AA7" s="16" t="s">
        <v>334</v>
      </c>
      <c r="AB7" s="16" t="s">
        <v>486</v>
      </c>
      <c r="AD7" s="16" t="s">
        <v>352</v>
      </c>
      <c r="AE7" s="16" t="s">
        <v>131</v>
      </c>
      <c r="AF7" s="16" t="s">
        <v>365</v>
      </c>
      <c r="AG7" s="16" t="s">
        <v>367</v>
      </c>
      <c r="AH7" s="16" t="s">
        <v>487</v>
      </c>
      <c r="AI7" s="16" t="s">
        <v>488</v>
      </c>
      <c r="AJ7" s="16" t="s">
        <v>155</v>
      </c>
      <c r="AK7" s="16" t="s">
        <v>182</v>
      </c>
      <c r="AL7" s="16" t="s">
        <v>394</v>
      </c>
      <c r="AN7" s="16" t="s">
        <v>312</v>
      </c>
      <c r="AO7" s="16" t="s">
        <v>316</v>
      </c>
      <c r="AP7" s="16" t="s">
        <v>320</v>
      </c>
      <c r="AQ7" s="16" t="s">
        <v>323</v>
      </c>
      <c r="AR7" s="16" t="s">
        <v>326</v>
      </c>
      <c r="AS7" s="16" t="s">
        <v>204</v>
      </c>
      <c r="AU7" s="16" t="s">
        <v>489</v>
      </c>
      <c r="AV7" s="16" t="s">
        <v>490</v>
      </c>
      <c r="AW7" s="16" t="s">
        <v>491</v>
      </c>
      <c r="AX7" s="16" t="s">
        <v>492</v>
      </c>
      <c r="AY7" s="16" t="s">
        <v>187</v>
      </c>
      <c r="AZ7" s="16" t="s">
        <v>493</v>
      </c>
      <c r="BA7" s="16" t="s">
        <v>494</v>
      </c>
      <c r="BB7" s="16" t="s">
        <v>495</v>
      </c>
      <c r="BC7" s="16" t="s">
        <v>496</v>
      </c>
      <c r="BD7" s="16" t="s">
        <v>497</v>
      </c>
      <c r="BE7" s="16" t="s">
        <v>498</v>
      </c>
      <c r="BF7" s="16" t="s">
        <v>193</v>
      </c>
    </row>
    <row r="8" spans="1:58" x14ac:dyDescent="0.35">
      <c r="A8" s="16" t="s">
        <v>112</v>
      </c>
      <c r="C8" s="16" t="s">
        <v>77</v>
      </c>
      <c r="D8" s="16" t="s">
        <v>499</v>
      </c>
      <c r="H8" s="16" t="s">
        <v>141</v>
      </c>
      <c r="J8" s="16" t="s">
        <v>165</v>
      </c>
      <c r="K8" s="16" t="s">
        <v>136</v>
      </c>
      <c r="M8" s="16" t="s">
        <v>63</v>
      </c>
      <c r="N8" s="16" t="s">
        <v>224</v>
      </c>
      <c r="O8" s="16" t="s">
        <v>236</v>
      </c>
      <c r="P8" s="16" t="s">
        <v>500</v>
      </c>
      <c r="Q8" s="16" t="s">
        <v>501</v>
      </c>
      <c r="U8" s="16" t="s">
        <v>112</v>
      </c>
      <c r="V8" s="16" t="s">
        <v>502</v>
      </c>
      <c r="X8" s="16" t="s">
        <v>165</v>
      </c>
      <c r="Y8" s="16" t="s">
        <v>503</v>
      </c>
      <c r="AA8" s="16" t="s">
        <v>136</v>
      </c>
      <c r="AB8" s="16" t="s">
        <v>504</v>
      </c>
      <c r="AD8" s="16" t="s">
        <v>353</v>
      </c>
      <c r="AG8" s="16" t="s">
        <v>368</v>
      </c>
      <c r="AH8" s="16" t="s">
        <v>505</v>
      </c>
      <c r="AI8" s="16" t="s">
        <v>203</v>
      </c>
      <c r="AJ8" s="16" t="s">
        <v>386</v>
      </c>
      <c r="AK8" s="16" t="s">
        <v>391</v>
      </c>
      <c r="AL8" s="16" t="s">
        <v>196</v>
      </c>
      <c r="AN8" s="16" t="s">
        <v>313</v>
      </c>
      <c r="AO8" s="16" t="s">
        <v>317</v>
      </c>
      <c r="AP8" s="16" t="s">
        <v>321</v>
      </c>
      <c r="AQ8" s="16" t="s">
        <v>324</v>
      </c>
      <c r="AR8" s="16" t="s">
        <v>327</v>
      </c>
      <c r="AS8" s="16" t="s">
        <v>329</v>
      </c>
      <c r="AU8" s="16" t="s">
        <v>506</v>
      </c>
      <c r="AV8" s="16" t="s">
        <v>507</v>
      </c>
      <c r="AW8" s="16" t="s">
        <v>508</v>
      </c>
      <c r="AX8" s="16" t="s">
        <v>509</v>
      </c>
      <c r="AY8" s="16" t="s">
        <v>194</v>
      </c>
      <c r="AZ8" s="16" t="s">
        <v>510</v>
      </c>
      <c r="BA8" s="16" t="s">
        <v>73</v>
      </c>
      <c r="BB8" s="16" t="s">
        <v>511</v>
      </c>
      <c r="BC8" s="16" t="s">
        <v>512</v>
      </c>
      <c r="BD8" s="16" t="s">
        <v>513</v>
      </c>
      <c r="BE8" s="16" t="s">
        <v>514</v>
      </c>
      <c r="BF8" s="16" t="s">
        <v>515</v>
      </c>
    </row>
    <row r="9" spans="1:58" x14ac:dyDescent="0.35">
      <c r="A9" s="16" t="s">
        <v>144</v>
      </c>
      <c r="C9" s="16" t="s">
        <v>202</v>
      </c>
      <c r="D9" s="16" t="s">
        <v>76</v>
      </c>
      <c r="H9" s="16" t="s">
        <v>179</v>
      </c>
      <c r="J9" s="16" t="s">
        <v>183</v>
      </c>
      <c r="K9" s="16" t="s">
        <v>169</v>
      </c>
      <c r="M9" s="16" t="s">
        <v>457</v>
      </c>
      <c r="N9" s="16" t="s">
        <v>516</v>
      </c>
      <c r="O9" s="16" t="s">
        <v>517</v>
      </c>
      <c r="P9" s="16" t="s">
        <v>518</v>
      </c>
      <c r="U9" s="16" t="s">
        <v>144</v>
      </c>
      <c r="V9" s="16" t="s">
        <v>519</v>
      </c>
      <c r="X9" s="16" t="s">
        <v>183</v>
      </c>
      <c r="Y9" s="16" t="s">
        <v>520</v>
      </c>
      <c r="AA9" s="16" t="s">
        <v>169</v>
      </c>
      <c r="AB9" s="16" t="s">
        <v>521</v>
      </c>
      <c r="AD9" s="16" t="s">
        <v>174</v>
      </c>
      <c r="AG9" s="16" t="s">
        <v>369</v>
      </c>
      <c r="AH9" s="16" t="s">
        <v>522</v>
      </c>
      <c r="AI9" s="16" t="s">
        <v>523</v>
      </c>
      <c r="AJ9" s="16" t="s">
        <v>387</v>
      </c>
      <c r="AK9" s="16" t="s">
        <v>392</v>
      </c>
      <c r="AL9" s="16" t="s">
        <v>395</v>
      </c>
      <c r="AN9" s="16" t="s">
        <v>314</v>
      </c>
      <c r="AO9" s="16" t="s">
        <v>318</v>
      </c>
      <c r="AP9" s="16" t="s">
        <v>145</v>
      </c>
      <c r="AS9" s="16" t="s">
        <v>176</v>
      </c>
      <c r="AU9" s="16" t="s">
        <v>524</v>
      </c>
      <c r="AV9" s="16" t="s">
        <v>525</v>
      </c>
      <c r="AW9" s="16" t="s">
        <v>526</v>
      </c>
      <c r="AX9" s="16" t="s">
        <v>527</v>
      </c>
      <c r="AY9" s="16" t="s">
        <v>63</v>
      </c>
      <c r="AZ9" s="16" t="s">
        <v>528</v>
      </c>
      <c r="BA9" s="16" t="s">
        <v>529</v>
      </c>
      <c r="BB9" s="16" t="s">
        <v>530</v>
      </c>
      <c r="BC9" s="16" t="s">
        <v>531</v>
      </c>
      <c r="BD9" s="16" t="s">
        <v>532</v>
      </c>
    </row>
    <row r="10" spans="1:58" x14ac:dyDescent="0.35">
      <c r="A10" s="16" t="s">
        <v>102</v>
      </c>
      <c r="C10" s="16" t="s">
        <v>533</v>
      </c>
      <c r="D10" s="16" t="s">
        <v>534</v>
      </c>
      <c r="H10" s="16" t="s">
        <v>161</v>
      </c>
      <c r="J10" s="16" t="s">
        <v>175</v>
      </c>
      <c r="K10" s="16" t="s">
        <v>335</v>
      </c>
      <c r="O10" s="16" t="s">
        <v>225</v>
      </c>
      <c r="P10" s="16" t="s">
        <v>535</v>
      </c>
      <c r="U10" s="16" t="s">
        <v>102</v>
      </c>
      <c r="V10" s="16" t="s">
        <v>536</v>
      </c>
      <c r="X10" s="16" t="s">
        <v>175</v>
      </c>
      <c r="Y10" s="16" t="s">
        <v>537</v>
      </c>
      <c r="AA10" s="16" t="s">
        <v>335</v>
      </c>
      <c r="AB10" s="16" t="s">
        <v>538</v>
      </c>
      <c r="AD10" s="16" t="s">
        <v>354</v>
      </c>
      <c r="AG10" s="16" t="s">
        <v>370</v>
      </c>
      <c r="AH10" s="16" t="s">
        <v>539</v>
      </c>
      <c r="AI10" s="16" t="s">
        <v>540</v>
      </c>
      <c r="AJ10" s="16" t="s">
        <v>388</v>
      </c>
      <c r="AK10" s="16" t="s">
        <v>388</v>
      </c>
      <c r="AL10" s="16" t="s">
        <v>388</v>
      </c>
      <c r="AN10" s="16" t="s">
        <v>115</v>
      </c>
      <c r="AP10" s="16" t="s">
        <v>322</v>
      </c>
      <c r="AS10" s="16" t="s">
        <v>330</v>
      </c>
      <c r="AU10" s="16" t="s">
        <v>541</v>
      </c>
      <c r="AV10" s="16" t="s">
        <v>542</v>
      </c>
      <c r="AW10" s="16" t="s">
        <v>543</v>
      </c>
      <c r="AX10" s="16" t="s">
        <v>544</v>
      </c>
      <c r="AZ10" s="16" t="s">
        <v>545</v>
      </c>
      <c r="BA10" s="16" t="s">
        <v>546</v>
      </c>
      <c r="BB10" s="16" t="s">
        <v>547</v>
      </c>
      <c r="BC10" s="16" t="s">
        <v>548</v>
      </c>
      <c r="BD10" s="16" t="s">
        <v>549</v>
      </c>
    </row>
    <row r="11" spans="1:58" x14ac:dyDescent="0.35">
      <c r="A11" s="16" t="s">
        <v>349</v>
      </c>
      <c r="D11" s="16" t="s">
        <v>550</v>
      </c>
      <c r="H11" s="16" t="s">
        <v>127</v>
      </c>
      <c r="K11" s="16" t="s">
        <v>72</v>
      </c>
      <c r="O11" s="16" t="s">
        <v>230</v>
      </c>
      <c r="P11" s="16" t="s">
        <v>551</v>
      </c>
      <c r="U11" s="16" t="s">
        <v>349</v>
      </c>
      <c r="V11" s="16" t="s">
        <v>552</v>
      </c>
      <c r="AA11" s="16" t="s">
        <v>72</v>
      </c>
      <c r="AB11" s="16" t="s">
        <v>553</v>
      </c>
      <c r="AD11" s="16" t="s">
        <v>355</v>
      </c>
      <c r="AG11" s="16" t="s">
        <v>371</v>
      </c>
      <c r="AH11" s="16" t="s">
        <v>554</v>
      </c>
      <c r="AI11" s="16" t="s">
        <v>388</v>
      </c>
      <c r="AS11" s="16" t="s">
        <v>331</v>
      </c>
      <c r="AU11" s="16" t="s">
        <v>555</v>
      </c>
      <c r="AV11" s="16" t="s">
        <v>556</v>
      </c>
      <c r="AW11" s="16" t="s">
        <v>557</v>
      </c>
      <c r="AX11" s="16" t="s">
        <v>558</v>
      </c>
      <c r="AZ11" s="16" t="s">
        <v>559</v>
      </c>
      <c r="BA11" s="16" t="s">
        <v>560</v>
      </c>
      <c r="BB11" s="16" t="s">
        <v>561</v>
      </c>
      <c r="BC11" s="16" t="s">
        <v>562</v>
      </c>
      <c r="BD11" s="16" t="s">
        <v>563</v>
      </c>
    </row>
    <row r="12" spans="1:58" x14ac:dyDescent="0.35">
      <c r="A12" s="16" t="s">
        <v>181</v>
      </c>
      <c r="K12" s="16" t="s">
        <v>177</v>
      </c>
      <c r="O12" s="16" t="s">
        <v>137</v>
      </c>
      <c r="U12" s="16" t="s">
        <v>181</v>
      </c>
      <c r="V12" s="16" t="s">
        <v>564</v>
      </c>
      <c r="AA12" s="16" t="s">
        <v>177</v>
      </c>
      <c r="AB12" s="16" t="s">
        <v>565</v>
      </c>
      <c r="AD12" s="16" t="s">
        <v>356</v>
      </c>
      <c r="AG12" s="16" t="s">
        <v>372</v>
      </c>
      <c r="AH12" s="16" t="s">
        <v>566</v>
      </c>
      <c r="AU12" s="16" t="s">
        <v>567</v>
      </c>
      <c r="AV12" s="16" t="s">
        <v>568</v>
      </c>
      <c r="AX12" s="16" t="s">
        <v>569</v>
      </c>
      <c r="AZ12" s="16" t="s">
        <v>570</v>
      </c>
      <c r="BA12" s="16" t="s">
        <v>571</v>
      </c>
      <c r="BB12" s="16" t="s">
        <v>572</v>
      </c>
      <c r="BC12" s="16" t="s">
        <v>573</v>
      </c>
      <c r="BD12" s="16" t="s">
        <v>574</v>
      </c>
    </row>
    <row r="13" spans="1:58" x14ac:dyDescent="0.35">
      <c r="A13" s="16" t="s">
        <v>191</v>
      </c>
      <c r="K13" s="16" t="s">
        <v>200</v>
      </c>
      <c r="O13" s="16" t="s">
        <v>575</v>
      </c>
      <c r="U13" s="16" t="s">
        <v>191</v>
      </c>
      <c r="V13" s="16" t="s">
        <v>576</v>
      </c>
      <c r="AA13" s="16" t="s">
        <v>200</v>
      </c>
      <c r="AB13" s="16" t="s">
        <v>577</v>
      </c>
      <c r="AD13" s="16" t="s">
        <v>357</v>
      </c>
      <c r="AG13" s="16" t="s">
        <v>373</v>
      </c>
      <c r="AH13" s="16" t="s">
        <v>155</v>
      </c>
      <c r="AU13" s="16" t="s">
        <v>578</v>
      </c>
      <c r="AV13" s="16" t="s">
        <v>579</v>
      </c>
      <c r="AX13" s="16" t="s">
        <v>580</v>
      </c>
      <c r="BA13" s="16" t="s">
        <v>581</v>
      </c>
      <c r="BB13" s="16" t="s">
        <v>582</v>
      </c>
      <c r="BC13" s="16" t="s">
        <v>583</v>
      </c>
    </row>
    <row r="14" spans="1:58" x14ac:dyDescent="0.35">
      <c r="K14" s="16" t="s">
        <v>336</v>
      </c>
      <c r="O14" s="16" t="s">
        <v>77</v>
      </c>
      <c r="AA14" s="16" t="s">
        <v>336</v>
      </c>
      <c r="AB14" s="16" t="s">
        <v>584</v>
      </c>
      <c r="AD14" s="16" t="s">
        <v>358</v>
      </c>
      <c r="AG14" s="16" t="s">
        <v>374</v>
      </c>
      <c r="AH14" s="16" t="s">
        <v>585</v>
      </c>
      <c r="AU14" s="16" t="s">
        <v>586</v>
      </c>
      <c r="AV14" s="16" t="s">
        <v>587</v>
      </c>
      <c r="AX14" s="16" t="s">
        <v>588</v>
      </c>
      <c r="BA14" s="16" t="s">
        <v>589</v>
      </c>
      <c r="BB14" s="16" t="s">
        <v>590</v>
      </c>
      <c r="BC14" s="16" t="s">
        <v>591</v>
      </c>
    </row>
    <row r="15" spans="1:58" x14ac:dyDescent="0.35">
      <c r="K15" s="16" t="s">
        <v>197</v>
      </c>
      <c r="AA15" s="16" t="s">
        <v>197</v>
      </c>
      <c r="AB15" s="16" t="s">
        <v>592</v>
      </c>
      <c r="AD15" s="16" t="s">
        <v>359</v>
      </c>
      <c r="AG15" s="16" t="s">
        <v>375</v>
      </c>
      <c r="AH15" s="16" t="s">
        <v>388</v>
      </c>
      <c r="AU15" s="16" t="s">
        <v>593</v>
      </c>
      <c r="AV15" s="16" t="s">
        <v>594</v>
      </c>
      <c r="AX15" s="16" t="s">
        <v>595</v>
      </c>
      <c r="BA15" s="16" t="s">
        <v>596</v>
      </c>
      <c r="BB15" s="16" t="s">
        <v>597</v>
      </c>
      <c r="BC15" s="16" t="s">
        <v>598</v>
      </c>
    </row>
    <row r="16" spans="1:58" x14ac:dyDescent="0.35">
      <c r="K16" s="16" t="s">
        <v>118</v>
      </c>
      <c r="AA16" s="16" t="s">
        <v>118</v>
      </c>
      <c r="AB16" s="16" t="s">
        <v>599</v>
      </c>
      <c r="AD16" s="16" t="s">
        <v>360</v>
      </c>
      <c r="AG16" s="16" t="s">
        <v>376</v>
      </c>
      <c r="AV16" s="16" t="s">
        <v>600</v>
      </c>
      <c r="AX16" s="16" t="s">
        <v>601</v>
      </c>
      <c r="BA16" s="16" t="s">
        <v>602</v>
      </c>
      <c r="BC16" s="16" t="s">
        <v>603</v>
      </c>
    </row>
    <row r="17" spans="30:53" x14ac:dyDescent="0.35">
      <c r="AD17" s="16" t="s">
        <v>361</v>
      </c>
      <c r="AG17" s="16" t="s">
        <v>377</v>
      </c>
      <c r="AV17" s="16" t="s">
        <v>604</v>
      </c>
      <c r="AX17" s="16" t="s">
        <v>605</v>
      </c>
      <c r="BA17" s="16" t="s">
        <v>106</v>
      </c>
    </row>
    <row r="18" spans="30:53" x14ac:dyDescent="0.35">
      <c r="AD18" s="16" t="s">
        <v>362</v>
      </c>
      <c r="AG18" s="16" t="s">
        <v>378</v>
      </c>
      <c r="AV18" s="16" t="s">
        <v>606</v>
      </c>
      <c r="AX18" s="16" t="s">
        <v>607</v>
      </c>
      <c r="BA18" s="16" t="s">
        <v>608</v>
      </c>
    </row>
    <row r="19" spans="30:53" x14ac:dyDescent="0.35">
      <c r="AG19" s="16" t="s">
        <v>379</v>
      </c>
      <c r="AX19" s="16" t="s">
        <v>609</v>
      </c>
    </row>
    <row r="20" spans="30:53" x14ac:dyDescent="0.35">
      <c r="AG20" s="16" t="s">
        <v>380</v>
      </c>
      <c r="AX20" s="16" t="s">
        <v>610</v>
      </c>
    </row>
    <row r="21" spans="30:53" x14ac:dyDescent="0.35">
      <c r="AG21" s="16" t="s">
        <v>381</v>
      </c>
      <c r="AX21" s="16" t="s">
        <v>611</v>
      </c>
    </row>
    <row r="22" spans="30:53" x14ac:dyDescent="0.35">
      <c r="AG22" s="16" t="s">
        <v>382</v>
      </c>
      <c r="AX22" s="16" t="s">
        <v>612</v>
      </c>
    </row>
    <row r="23" spans="30:53" x14ac:dyDescent="0.35">
      <c r="AX23" s="16" t="s">
        <v>613</v>
      </c>
    </row>
    <row r="24" spans="30:53" x14ac:dyDescent="0.35">
      <c r="AX24" s="16" t="s">
        <v>614</v>
      </c>
    </row>
    <row r="25" spans="30:53" x14ac:dyDescent="0.35">
      <c r="AX25" s="16" t="s">
        <v>615</v>
      </c>
    </row>
    <row r="40" spans="1:4" x14ac:dyDescent="0.35">
      <c r="A40" s="46" t="s">
        <v>616</v>
      </c>
      <c r="B40" s="46"/>
      <c r="C40" s="46"/>
      <c r="D40" s="46"/>
    </row>
    <row r="41" spans="1:4" x14ac:dyDescent="0.35">
      <c r="A41" s="30" t="s">
        <v>27</v>
      </c>
      <c r="B41" s="30" t="s">
        <v>617</v>
      </c>
    </row>
    <row r="42" spans="1:4" x14ac:dyDescent="0.35">
      <c r="A42" s="16" t="s">
        <v>95</v>
      </c>
      <c r="B42" s="16" t="s">
        <v>618</v>
      </c>
    </row>
    <row r="43" spans="1:4" x14ac:dyDescent="0.35">
      <c r="A43" s="16" t="s">
        <v>187</v>
      </c>
      <c r="B43" s="16" t="s">
        <v>619</v>
      </c>
    </row>
    <row r="44" spans="1:4" x14ac:dyDescent="0.35">
      <c r="A44" s="16" t="s">
        <v>194</v>
      </c>
      <c r="B44" s="16" t="s">
        <v>620</v>
      </c>
    </row>
    <row r="45" spans="1:4" x14ac:dyDescent="0.35">
      <c r="A45" s="16" t="s">
        <v>63</v>
      </c>
      <c r="B45" s="16" t="s">
        <v>621</v>
      </c>
    </row>
    <row r="46" spans="1:4" x14ac:dyDescent="0.35">
      <c r="A46" s="16" t="s">
        <v>457</v>
      </c>
      <c r="B46" s="16" t="s">
        <v>622</v>
      </c>
    </row>
    <row r="47" spans="1:4" ht="15" customHeight="1" x14ac:dyDescent="0.35">
      <c r="A47" s="47" t="s">
        <v>623</v>
      </c>
      <c r="B47" s="47"/>
      <c r="C47" s="47"/>
      <c r="D47" s="47"/>
    </row>
    <row r="48" spans="1:4" x14ac:dyDescent="0.35">
      <c r="A48" s="47"/>
      <c r="B48" s="47"/>
      <c r="C48" s="47"/>
      <c r="D48" s="47"/>
    </row>
  </sheetData>
  <mergeCells count="4">
    <mergeCell ref="A1:BF1"/>
    <mergeCell ref="A2:BF2"/>
    <mergeCell ref="A40:D40"/>
    <mergeCell ref="A47:D4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49</vt:i4>
      </vt:variant>
    </vt:vector>
  </HeadingPairs>
  <TitlesOfParts>
    <vt:vector size="56" baseType="lpstr">
      <vt:lpstr>Leia-me</vt:lpstr>
      <vt:lpstr>Base Gerencial</vt:lpstr>
      <vt:lpstr>Acomp. Equipe</vt:lpstr>
      <vt:lpstr>Acompanhamento Semanal</vt:lpstr>
      <vt:lpstr>Indicadores</vt:lpstr>
      <vt:lpstr>Report</vt:lpstr>
      <vt:lpstr>Cadastros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Impactos</vt:lpstr>
      <vt:lpstr>MapaEnt</vt:lpstr>
      <vt:lpstr>MapaPessoas</vt:lpstr>
      <vt:lpstr>MapaTemas</vt:lpstr>
      <vt:lpstr>MotivoStatus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Prioridades</vt:lpstr>
      <vt:lpstr>Projetos</vt:lpstr>
      <vt:lpstr>RadarCor</vt:lpstr>
      <vt:lpstr>SimNao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2026-07-13T23:43:57Z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2026-07-10T15:24:06Z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3f5f7917-aa9c-4dc0-b5a7-a29885b46449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